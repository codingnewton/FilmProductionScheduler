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son\Desktop\FYP Appendix\"/>
    </mc:Choice>
  </mc:AlternateContent>
  <xr:revisionPtr revIDLastSave="0" documentId="13_ncr:1_{E975B5AA-982F-436A-99D7-AF528FF8ED4C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Members" sheetId="1" r:id="rId1"/>
    <sheet name="Members_availability" sheetId="6" r:id="rId2"/>
    <sheet name="Tasks" sheetId="2" r:id="rId3"/>
    <sheet name="Lists" sheetId="3" r:id="rId4"/>
  </sheets>
  <definedNames>
    <definedName name="ROLE_NAME">Lists!$B$1:$B$6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" i="2" l="1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S18" i="2"/>
  <c r="S17" i="2"/>
  <c r="S16" i="2"/>
  <c r="S15" i="2"/>
  <c r="S14" i="2"/>
  <c r="S13" i="2"/>
  <c r="S12" i="2"/>
  <c r="S11" i="2"/>
  <c r="S10" i="2"/>
  <c r="X10" i="2" s="1"/>
  <c r="S9" i="2"/>
  <c r="S8" i="2"/>
  <c r="S7" i="2"/>
  <c r="S6" i="2"/>
  <c r="S5" i="2"/>
  <c r="S4" i="2"/>
  <c r="S3" i="2"/>
  <c r="Q18" i="2"/>
  <c r="Q17" i="2"/>
  <c r="Q16" i="2"/>
  <c r="Q15" i="2"/>
  <c r="Q14" i="2"/>
  <c r="Q13" i="2"/>
  <c r="Q12" i="2"/>
  <c r="X12" i="2" s="1"/>
  <c r="Q11" i="2"/>
  <c r="Q10" i="2"/>
  <c r="Q9" i="2"/>
  <c r="Q8" i="2"/>
  <c r="Q7" i="2"/>
  <c r="Q6" i="2"/>
  <c r="X6" i="2" s="1"/>
  <c r="Q5" i="2"/>
  <c r="X5" i="2" s="1"/>
  <c r="Q3" i="2"/>
  <c r="Q4" i="2"/>
  <c r="X4" i="2" s="1"/>
  <c r="C2" i="3" a="1"/>
  <c r="C2" i="3" s="1"/>
  <c r="D2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3" i="2"/>
  <c r="B1" i="6" a="1"/>
  <c r="U2" i="6" s="1"/>
  <c r="U3" i="6" s="1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U93" i="6" s="1"/>
  <c r="U94" i="6" s="1"/>
  <c r="U95" i="6" s="1"/>
  <c r="U96" i="6" s="1"/>
  <c r="U97" i="6" s="1"/>
  <c r="A1" i="6"/>
  <c r="X3" i="2" l="1"/>
  <c r="X14" i="2"/>
  <c r="X13" i="2"/>
  <c r="X15" i="2"/>
  <c r="X17" i="2"/>
  <c r="X18" i="2"/>
  <c r="X9" i="2"/>
  <c r="X11" i="2"/>
  <c r="X8" i="2"/>
  <c r="X7" i="2"/>
  <c r="X16" i="2"/>
  <c r="O9" i="2" a="1"/>
  <c r="O9" i="2" s="1"/>
  <c r="O10" i="2" a="1"/>
  <c r="O10" i="2" s="1"/>
  <c r="O11" i="2" a="1"/>
  <c r="O11" i="2" s="1"/>
  <c r="O3" i="2" a="1"/>
  <c r="O3" i="2" s="1"/>
  <c r="D4" i="3"/>
  <c r="O15" i="2" s="1" a="1"/>
  <c r="O15" i="2" s="1"/>
  <c r="D5" i="3"/>
  <c r="O16" i="2" s="1" a="1"/>
  <c r="O16" i="2" s="1"/>
  <c r="D3" i="3"/>
  <c r="O8" i="2" s="1" a="1"/>
  <c r="O8" i="2" s="1"/>
  <c r="B1" i="6"/>
  <c r="B2" i="6" s="1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R2" i="6"/>
  <c r="R3" i="6" s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R87" i="6" s="1"/>
  <c r="R88" i="6" s="1"/>
  <c r="R89" i="6" s="1"/>
  <c r="R90" i="6" s="1"/>
  <c r="R91" i="6" s="1"/>
  <c r="R92" i="6" s="1"/>
  <c r="R93" i="6" s="1"/>
  <c r="R94" i="6" s="1"/>
  <c r="R95" i="6" s="1"/>
  <c r="R96" i="6" s="1"/>
  <c r="R97" i="6" s="1"/>
  <c r="N2" i="6"/>
  <c r="N3" i="6" s="1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M2" i="6"/>
  <c r="M3" i="6" s="1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J2" i="6"/>
  <c r="J3" i="6" s="1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H2" i="6"/>
  <c r="H3" i="6" s="1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D2" i="6"/>
  <c r="D3" i="6" s="1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P2" i="6"/>
  <c r="P3" i="6" s="1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I2" i="6"/>
  <c r="I3" i="6" s="1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L2" i="6"/>
  <c r="L3" i="6" s="1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E2" i="6"/>
  <c r="E3" i="6" s="1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O2" i="6"/>
  <c r="O3" i="6" s="1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K2" i="6"/>
  <c r="K3" i="6" s="1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T2" i="6"/>
  <c r="T3" i="6" s="1"/>
  <c r="T4" i="6" s="1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T93" i="6" s="1"/>
  <c r="T94" i="6" s="1"/>
  <c r="T95" i="6" s="1"/>
  <c r="T96" i="6" s="1"/>
  <c r="T97" i="6" s="1"/>
  <c r="G2" i="6"/>
  <c r="G3" i="6" s="1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F2" i="6"/>
  <c r="F3" i="6" s="1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S2" i="6"/>
  <c r="S3" i="6" s="1"/>
  <c r="S4" i="6" s="1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S93" i="6" s="1"/>
  <c r="S94" i="6" s="1"/>
  <c r="S95" i="6" s="1"/>
  <c r="S96" i="6" s="1"/>
  <c r="S97" i="6" s="1"/>
  <c r="O13" i="2" l="1" a="1"/>
  <c r="O13" i="2" s="1"/>
  <c r="O6" i="2" a="1"/>
  <c r="O6" i="2" s="1"/>
  <c r="O14" i="2" a="1"/>
  <c r="O14" i="2" s="1"/>
  <c r="O4" i="2" a="1"/>
  <c r="O4" i="2" s="1"/>
  <c r="O12" i="2" a="1"/>
  <c r="O12" i="2" s="1"/>
  <c r="O7" i="2" a="1"/>
  <c r="O7" i="2" s="1"/>
  <c r="O18" i="2" a="1"/>
  <c r="O18" i="2" s="1"/>
  <c r="O5" i="2" a="1"/>
  <c r="O5" i="2" s="1"/>
  <c r="O17" i="2" a="1"/>
  <c r="O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</author>
  </authors>
  <commentList>
    <comment ref="A1" authorId="0" shapeId="0" xr:uid="{86CDF1BC-7D04-41E2-A8D6-A87406F8B994}">
      <text>
        <r>
          <rPr>
            <b/>
            <sz val="9"/>
            <color indexed="81"/>
            <rFont val="Tahoma"/>
            <family val="2"/>
          </rPr>
          <t>Lock Excel</t>
        </r>
      </text>
    </comment>
    <comment ref="V2" authorId="0" shapeId="0" xr:uid="{4581F790-4510-4ABB-9302-C75BD999131C}">
      <text>
        <r>
          <rPr>
            <b/>
            <sz val="9"/>
            <color indexed="81"/>
            <rFont val="Tahoma"/>
            <family val="2"/>
          </rPr>
          <t>Add and Del Members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</author>
  </authors>
  <commentList>
    <comment ref="D1" authorId="0" shapeId="0" xr:uid="{0F8F81BA-95A8-4D29-AB74-50A3AD9E6F01}">
      <text>
        <r>
          <rPr>
            <b/>
            <sz val="9"/>
            <color indexed="81"/>
            <rFont val="Tahoma"/>
            <family val="2"/>
          </rPr>
          <t>Location data validation?</t>
        </r>
      </text>
    </comment>
    <comment ref="M1" authorId="0" shapeId="0" xr:uid="{6DB03CD4-4CC1-48B0-AC5C-6EF90536536D}">
      <text>
        <r>
          <rPr>
            <b/>
            <sz val="9"/>
            <color indexed="81"/>
            <rFont val="Tahoma"/>
            <family val="2"/>
          </rPr>
          <t xml:space="preserve">Implement?
</t>
        </r>
      </text>
    </comment>
    <comment ref="N1" authorId="0" shapeId="0" xr:uid="{0F7E0AFB-BF47-47BE-9AAB-1CB57F4598FC}">
      <text>
        <r>
          <rPr>
            <b/>
            <sz val="9"/>
            <color indexed="81"/>
            <rFont val="Tahoma"/>
            <family val="2"/>
          </rPr>
          <t>Dynamic member types?</t>
        </r>
      </text>
    </comment>
    <comment ref="H2" authorId="0" shapeId="0" xr:uid="{6026C32A-58A9-4B55-86B3-386547822834}">
      <text>
        <r>
          <rPr>
            <b/>
            <sz val="9"/>
            <color indexed="81"/>
            <rFont val="Tahoma"/>
            <family val="2"/>
          </rPr>
          <t>Add location?</t>
        </r>
      </text>
    </comment>
    <comment ref="N2" authorId="0" shapeId="0" xr:uid="{6BBE5DC3-1865-4B97-8865-342E04B8F2B4}">
      <text>
        <r>
          <rPr>
            <b/>
            <sz val="9"/>
            <color indexed="81"/>
            <rFont val="Tahoma"/>
            <family val="2"/>
          </rPr>
          <t>Multiple Actors &amp; data validation</t>
        </r>
      </text>
    </comment>
    <comment ref="X2" authorId="0" shapeId="0" xr:uid="{29EBF795-4D36-49F7-A7FE-516F22E89CCE}">
      <text>
        <r>
          <rPr>
            <b/>
            <sz val="9"/>
            <color indexed="81"/>
            <rFont val="Tahoma"/>
            <family val="2"/>
          </rPr>
          <t>Data validation for empty roles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 xr:uid="{6E8CC8A5-5CEC-485A-8241-E9BB6029F785}">
      <text>
        <r>
          <rPr>
            <b/>
            <sz val="9"/>
            <color indexed="81"/>
            <rFont val="Tahoma"/>
            <family val="2"/>
          </rPr>
          <t>Add &amp; Del Tasks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<sst xmlns="http://schemas.openxmlformats.org/spreadsheetml/2006/main" count="140" uniqueCount="70">
  <si>
    <t>Jacob</t>
  </si>
  <si>
    <t>Actor</t>
  </si>
  <si>
    <t>ROLE_NAME</t>
  </si>
  <si>
    <t>Makeup Crew</t>
  </si>
  <si>
    <t>Vicky</t>
  </si>
  <si>
    <t>Monita</t>
  </si>
  <si>
    <t>Ray</t>
  </si>
  <si>
    <t>Sara</t>
  </si>
  <si>
    <t>Raj</t>
  </si>
  <si>
    <t>Rajesh</t>
  </si>
  <si>
    <t>Bonnie</t>
  </si>
  <si>
    <t>Sheila</t>
  </si>
  <si>
    <t xml:space="preserve">  Name</t>
  </si>
  <si>
    <t xml:space="preserve">  Role</t>
  </si>
  <si>
    <t xml:space="preserve">  Hourly Rate ($)</t>
  </si>
  <si>
    <t xml:space="preserve">  Over-time Hourly Rate ($)</t>
  </si>
  <si>
    <t xml:space="preserve">  Availability</t>
  </si>
  <si>
    <t>Ramesh</t>
  </si>
  <si>
    <t>Task No.</t>
  </si>
  <si>
    <t>Task Name</t>
  </si>
  <si>
    <t>Setup Photo Area</t>
  </si>
  <si>
    <t>Task Variable Name</t>
  </si>
  <si>
    <t>List of Task Locations</t>
  </si>
  <si>
    <t>Location 1</t>
  </si>
  <si>
    <t>Location 2</t>
  </si>
  <si>
    <t>Location 3</t>
  </si>
  <si>
    <t>Location 4</t>
  </si>
  <si>
    <t>Location 5</t>
  </si>
  <si>
    <t>The Galleria</t>
  </si>
  <si>
    <t>Studio</t>
  </si>
  <si>
    <t>Estimated Duration (minutes)</t>
  </si>
  <si>
    <t>Required Members</t>
  </si>
  <si>
    <t>Actors</t>
  </si>
  <si>
    <t xml:space="preserve">   Member ID</t>
  </si>
  <si>
    <t>Time of Day</t>
  </si>
  <si>
    <t>Task Dependencies (Task Order)</t>
  </si>
  <si>
    <t>Task Locations</t>
  </si>
  <si>
    <t>ACTOR_NAME</t>
  </si>
  <si>
    <t>task_actors</t>
  </si>
  <si>
    <t>task_roles</t>
  </si>
  <si>
    <t>[]</t>
  </si>
  <si>
    <t>Jacob Hair &amp; Makeup</t>
  </si>
  <si>
    <t>Vicky Hair &amp; Makeup</t>
  </si>
  <si>
    <t>Monita Hair &amp; Makeup</t>
  </si>
  <si>
    <t>Ray Hair &amp; Makeup</t>
  </si>
  <si>
    <t>Setup Lighting A</t>
  </si>
  <si>
    <t>Setup Lighting B</t>
  </si>
  <si>
    <t>Setup Lighting C</t>
  </si>
  <si>
    <t>Jacob Video Shoot</t>
  </si>
  <si>
    <t>Jacob Photo Shoot</t>
  </si>
  <si>
    <t>Vicky Video Shoot</t>
  </si>
  <si>
    <t>Vicky Photo Shoot</t>
  </si>
  <si>
    <t>Monita Video Shoot</t>
  </si>
  <si>
    <t>Monita Photo Shoot</t>
  </si>
  <si>
    <t>Ray Video Shoot</t>
  </si>
  <si>
    <t>Ray Photo Shoot</t>
  </si>
  <si>
    <t>[5, 3]</t>
  </si>
  <si>
    <t>[7, 3]</t>
  </si>
  <si>
    <t>[4, 2]</t>
  </si>
  <si>
    <t>[7, 2]</t>
  </si>
  <si>
    <t>[4, 1]</t>
  </si>
  <si>
    <t>[6, 1]</t>
  </si>
  <si>
    <t>[4, 0]</t>
  </si>
  <si>
    <t>[5, 0]</t>
  </si>
  <si>
    <t>Video Crew</t>
  </si>
  <si>
    <t>Photo Crew</t>
  </si>
  <si>
    <t>Camera</t>
  </si>
  <si>
    <t>Cam 1</t>
  </si>
  <si>
    <t>Cam 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</si>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</sst>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0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0" xfId="0" applyFont="1" applyFill="1"/>
    <xf numFmtId="0" fontId="5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5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darkTrellis">
          <fgColor rgb="FF00B050"/>
        </patternFill>
      </fill>
    </dxf>
    <dxf>
      <fill>
        <patternFill patternType="mediumGray">
          <f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04"/>
  <sheetViews>
    <sheetView topLeftCell="A17" zoomScale="70" zoomScaleNormal="70" workbookViewId="0">
      <selection activeCell="E42" sqref="E42"/>
    </sheetView>
  </sheetViews>
  <sheetFormatPr defaultColWidth="14.5546875" defaultRowHeight="14.4" x14ac:dyDescent="0.3"/>
  <cols>
    <col min="1" max="1" width="29.77734375" customWidth="1"/>
    <col min="23" max="16384" width="14.5546875" style="12"/>
  </cols>
  <sheetData>
    <row r="1" spans="1:2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">
      <c r="A2" s="15" t="s">
        <v>33</v>
      </c>
      <c r="B2" s="2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4"/>
    </row>
    <row r="3" spans="1:22" s="13" customFormat="1" ht="18" customHeight="1" x14ac:dyDescent="0.3">
      <c r="A3" s="5" t="s">
        <v>12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10</v>
      </c>
      <c r="G3" s="6" t="s">
        <v>11</v>
      </c>
      <c r="H3" s="6" t="s">
        <v>9</v>
      </c>
      <c r="I3" s="6" t="s">
        <v>17</v>
      </c>
      <c r="J3" s="6" t="s">
        <v>8</v>
      </c>
      <c r="K3" s="6" t="s">
        <v>7</v>
      </c>
      <c r="L3" s="6" t="s">
        <v>67</v>
      </c>
      <c r="M3" s="6" t="s">
        <v>68</v>
      </c>
      <c r="N3" s="6" t="s">
        <v>69</v>
      </c>
      <c r="O3" s="6" t="s">
        <v>69</v>
      </c>
      <c r="P3" s="6" t="s">
        <v>69</v>
      </c>
      <c r="Q3" s="6" t="s">
        <v>69</v>
      </c>
      <c r="R3" s="6" t="s">
        <v>69</v>
      </c>
      <c r="S3" s="6" t="s">
        <v>69</v>
      </c>
      <c r="T3" s="6" t="s">
        <v>69</v>
      </c>
      <c r="U3" s="6" t="s">
        <v>69</v>
      </c>
      <c r="V3" s="7"/>
    </row>
    <row r="4" spans="1:22" s="14" customFormat="1" ht="18" customHeight="1" x14ac:dyDescent="0.3">
      <c r="A4" s="5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3</v>
      </c>
      <c r="G4" s="6" t="s">
        <v>3</v>
      </c>
      <c r="H4" s="6" t="s">
        <v>64</v>
      </c>
      <c r="I4" s="6" t="s">
        <v>64</v>
      </c>
      <c r="J4" s="6" t="s">
        <v>65</v>
      </c>
      <c r="K4" s="6" t="s">
        <v>65</v>
      </c>
      <c r="L4" s="6" t="s">
        <v>66</v>
      </c>
      <c r="M4" s="6" t="s">
        <v>66</v>
      </c>
      <c r="N4" s="6" t="s">
        <v>66</v>
      </c>
      <c r="O4" s="6" t="s">
        <v>66</v>
      </c>
      <c r="P4" s="6" t="s">
        <v>66</v>
      </c>
      <c r="Q4" s="6" t="s">
        <v>66</v>
      </c>
      <c r="R4" s="6" t="s">
        <v>66</v>
      </c>
      <c r="S4" s="6" t="s">
        <v>66</v>
      </c>
      <c r="T4" s="6" t="s">
        <v>66</v>
      </c>
      <c r="U4" s="6" t="s">
        <v>66</v>
      </c>
      <c r="V4" s="8"/>
    </row>
    <row r="5" spans="1:22" s="14" customFormat="1" ht="18" customHeight="1" x14ac:dyDescent="0.3">
      <c r="A5" s="5" t="s">
        <v>14</v>
      </c>
      <c r="B5" s="9">
        <v>300</v>
      </c>
      <c r="C5" s="9">
        <v>350</v>
      </c>
      <c r="D5" s="9">
        <v>400</v>
      </c>
      <c r="E5" s="9">
        <v>600</v>
      </c>
      <c r="F5" s="9">
        <v>450</v>
      </c>
      <c r="G5" s="9">
        <v>400</v>
      </c>
      <c r="H5" s="9">
        <v>450</v>
      </c>
      <c r="I5" s="9">
        <v>450</v>
      </c>
      <c r="J5" s="9">
        <v>200</v>
      </c>
      <c r="K5" s="9">
        <v>200</v>
      </c>
      <c r="L5" s="9">
        <v>50</v>
      </c>
      <c r="M5" s="9">
        <v>50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8"/>
    </row>
    <row r="6" spans="1:22" s="14" customFormat="1" ht="18" customHeight="1" x14ac:dyDescent="0.3">
      <c r="A6" s="5" t="s">
        <v>15</v>
      </c>
      <c r="B6" s="9">
        <v>400</v>
      </c>
      <c r="C6" s="9">
        <v>500</v>
      </c>
      <c r="D6" s="9">
        <v>500</v>
      </c>
      <c r="E6" s="9">
        <v>800</v>
      </c>
      <c r="F6" s="9">
        <v>600</v>
      </c>
      <c r="G6" s="9">
        <v>500</v>
      </c>
      <c r="H6" s="9">
        <v>600</v>
      </c>
      <c r="I6" s="9">
        <v>650</v>
      </c>
      <c r="J6" s="9">
        <v>400</v>
      </c>
      <c r="K6" s="9">
        <v>350</v>
      </c>
      <c r="L6" s="9">
        <v>50</v>
      </c>
      <c r="M6" s="9">
        <v>50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8"/>
    </row>
    <row r="7" spans="1:22" s="14" customFormat="1" ht="18" customHeight="1" x14ac:dyDescent="0.3">
      <c r="A7" s="10" t="s">
        <v>16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3">
      <c r="A8" s="3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4"/>
    </row>
    <row r="9" spans="1:22" x14ac:dyDescent="0.3">
      <c r="A9" s="3">
        <v>1.0416666666666666E-2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4"/>
    </row>
    <row r="10" spans="1:22" x14ac:dyDescent="0.3">
      <c r="A10" s="3">
        <v>2.0833333333333301E-2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4"/>
    </row>
    <row r="11" spans="1:22" x14ac:dyDescent="0.3">
      <c r="A11" s="3">
        <v>3.125E-2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4"/>
    </row>
    <row r="12" spans="1:22" x14ac:dyDescent="0.3">
      <c r="A12" s="3">
        <v>4.1666666666666699E-2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4"/>
    </row>
    <row r="13" spans="1:22" x14ac:dyDescent="0.3">
      <c r="A13" s="3">
        <v>5.2083333333333301E-2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4"/>
    </row>
    <row r="14" spans="1:22" x14ac:dyDescent="0.3">
      <c r="A14" s="3">
        <v>6.25E-2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4"/>
    </row>
    <row r="15" spans="1:22" x14ac:dyDescent="0.3">
      <c r="A15" s="3">
        <v>7.2916666666666699E-2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4"/>
    </row>
    <row r="16" spans="1:22" x14ac:dyDescent="0.3">
      <c r="A16" s="3">
        <v>8.3333333333333301E-2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4"/>
    </row>
    <row r="17" spans="1:22" x14ac:dyDescent="0.3">
      <c r="A17" s="3">
        <v>9.375E-2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4"/>
    </row>
    <row r="18" spans="1:22" x14ac:dyDescent="0.3">
      <c r="A18" s="3">
        <v>0.104166666666667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4"/>
    </row>
    <row r="19" spans="1:22" x14ac:dyDescent="0.3">
      <c r="A19" s="3">
        <v>0.114583333333333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4"/>
    </row>
    <row r="20" spans="1:22" x14ac:dyDescent="0.3">
      <c r="A20" s="3">
        <v>0.125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4"/>
    </row>
    <row r="21" spans="1:22" x14ac:dyDescent="0.3">
      <c r="A21" s="3">
        <v>0.13541666666666699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4"/>
    </row>
    <row r="22" spans="1:22" x14ac:dyDescent="0.3">
      <c r="A22" s="3">
        <v>0.14583333333333301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4"/>
    </row>
    <row r="23" spans="1:22" x14ac:dyDescent="0.3">
      <c r="A23" s="3">
        <v>0.15625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4"/>
    </row>
    <row r="24" spans="1:22" x14ac:dyDescent="0.3">
      <c r="A24" s="3">
        <v>0.16666666666666699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4"/>
    </row>
    <row r="25" spans="1:22" x14ac:dyDescent="0.3">
      <c r="A25" s="3">
        <v>0.17708333333333301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4"/>
    </row>
    <row r="26" spans="1:22" x14ac:dyDescent="0.3">
      <c r="A26" s="3">
        <v>0.1875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4"/>
    </row>
    <row r="27" spans="1:22" x14ac:dyDescent="0.3">
      <c r="A27" s="3">
        <v>0.19791666666666699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4"/>
    </row>
    <row r="28" spans="1:22" x14ac:dyDescent="0.3">
      <c r="A28" s="3">
        <v>0.20833333333333301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4"/>
    </row>
    <row r="29" spans="1:22" x14ac:dyDescent="0.3">
      <c r="A29" s="3">
        <v>0.21875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4"/>
    </row>
    <row r="30" spans="1:22" x14ac:dyDescent="0.3">
      <c r="A30" s="3">
        <v>0.22916666666666699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4"/>
    </row>
    <row r="31" spans="1:22" x14ac:dyDescent="0.3">
      <c r="A31" s="3">
        <v>0.23958333333333301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4"/>
    </row>
    <row r="32" spans="1:22" x14ac:dyDescent="0.3">
      <c r="A32" s="3">
        <v>0.25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4"/>
    </row>
    <row r="33" spans="1:22" x14ac:dyDescent="0.3">
      <c r="A33" s="3">
        <v>0.26041666666666702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4"/>
    </row>
    <row r="34" spans="1:22" x14ac:dyDescent="0.3">
      <c r="A34" s="3">
        <v>0.27083333333333298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4"/>
    </row>
    <row r="35" spans="1:22" x14ac:dyDescent="0.3">
      <c r="A35" s="3">
        <v>0.28125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4"/>
    </row>
    <row r="36" spans="1:22" x14ac:dyDescent="0.3">
      <c r="A36" s="3">
        <v>0.29166666666666702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4"/>
    </row>
    <row r="37" spans="1:22" x14ac:dyDescent="0.3">
      <c r="A37" s="3">
        <v>0.30208333333333298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4"/>
    </row>
    <row r="38" spans="1:22" x14ac:dyDescent="0.3">
      <c r="A38" s="3">
        <v>0.3125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4"/>
    </row>
    <row r="39" spans="1:22" x14ac:dyDescent="0.3">
      <c r="A39" s="3">
        <v>0.32291666666666702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4"/>
    </row>
    <row r="40" spans="1:22" x14ac:dyDescent="0.3">
      <c r="A40" s="3">
        <v>0.33333333333333298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4"/>
    </row>
    <row r="41" spans="1:22" x14ac:dyDescent="0.3">
      <c r="A41" s="3">
        <v>0.34375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4"/>
    </row>
    <row r="42" spans="1:22" x14ac:dyDescent="0.3">
      <c r="A42" s="3">
        <v>0.35416666666666702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4"/>
    </row>
    <row r="43" spans="1:22" x14ac:dyDescent="0.3">
      <c r="A43" s="3">
        <v>0.36458333333333298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4"/>
    </row>
    <row r="44" spans="1:22" x14ac:dyDescent="0.3">
      <c r="A44" s="3">
        <v>0.375</v>
      </c>
      <c r="B44" s="2">
        <v>1</v>
      </c>
      <c r="C44" s="2">
        <v>1</v>
      </c>
      <c r="D44" s="2">
        <v>0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4"/>
    </row>
    <row r="45" spans="1:22" x14ac:dyDescent="0.3">
      <c r="A45" s="3">
        <v>0.38541666666666702</v>
      </c>
      <c r="B45" s="2">
        <v>1</v>
      </c>
      <c r="C45" s="2">
        <v>1</v>
      </c>
      <c r="D45" s="2">
        <v>0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4"/>
    </row>
    <row r="46" spans="1:22" x14ac:dyDescent="0.3">
      <c r="A46" s="3">
        <v>0.39583333333333298</v>
      </c>
      <c r="B46" s="2">
        <v>1</v>
      </c>
      <c r="C46" s="2">
        <v>1</v>
      </c>
      <c r="D46" s="2">
        <v>0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4"/>
    </row>
    <row r="47" spans="1:22" x14ac:dyDescent="0.3">
      <c r="A47" s="3">
        <v>0.40625</v>
      </c>
      <c r="B47" s="2">
        <v>1</v>
      </c>
      <c r="C47" s="2">
        <v>1</v>
      </c>
      <c r="D47" s="2">
        <v>0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4"/>
    </row>
    <row r="48" spans="1:22" x14ac:dyDescent="0.3">
      <c r="A48" s="3">
        <v>0.41666666666666702</v>
      </c>
      <c r="B48" s="2">
        <v>1</v>
      </c>
      <c r="C48" s="2">
        <v>1</v>
      </c>
      <c r="D48" s="2">
        <v>0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4"/>
    </row>
    <row r="49" spans="1:22" x14ac:dyDescent="0.3">
      <c r="A49" s="3">
        <v>0.42708333333333298</v>
      </c>
      <c r="B49" s="2">
        <v>1</v>
      </c>
      <c r="C49" s="2">
        <v>1</v>
      </c>
      <c r="D49" s="2">
        <v>0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4"/>
    </row>
    <row r="50" spans="1:22" x14ac:dyDescent="0.3">
      <c r="A50" s="3">
        <v>0.4375</v>
      </c>
      <c r="B50" s="2">
        <v>1</v>
      </c>
      <c r="C50" s="2">
        <v>1</v>
      </c>
      <c r="D50" s="2">
        <v>0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4"/>
    </row>
    <row r="51" spans="1:22" x14ac:dyDescent="0.3">
      <c r="A51" s="3">
        <v>0.44791666666666702</v>
      </c>
      <c r="B51" s="2">
        <v>1</v>
      </c>
      <c r="C51" s="2">
        <v>1</v>
      </c>
      <c r="D51" s="2">
        <v>0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4"/>
    </row>
    <row r="52" spans="1:22" x14ac:dyDescent="0.3">
      <c r="A52" s="3">
        <v>0.45833333333333298</v>
      </c>
      <c r="B52" s="2">
        <v>1</v>
      </c>
      <c r="C52" s="2">
        <v>1</v>
      </c>
      <c r="D52" s="2">
        <v>0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4"/>
    </row>
    <row r="53" spans="1:22" x14ac:dyDescent="0.3">
      <c r="A53" s="3">
        <v>0.46875</v>
      </c>
      <c r="B53" s="2">
        <v>1</v>
      </c>
      <c r="C53" s="2">
        <v>1</v>
      </c>
      <c r="D53" s="2">
        <v>0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4"/>
    </row>
    <row r="54" spans="1:22" x14ac:dyDescent="0.3">
      <c r="A54" s="3">
        <v>0.47916666666666702</v>
      </c>
      <c r="B54" s="2">
        <v>1</v>
      </c>
      <c r="C54" s="2">
        <v>1</v>
      </c>
      <c r="D54" s="2">
        <v>0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4"/>
    </row>
    <row r="55" spans="1:22" x14ac:dyDescent="0.3">
      <c r="A55" s="3">
        <v>0.48958333333333298</v>
      </c>
      <c r="B55" s="2">
        <v>1</v>
      </c>
      <c r="C55" s="2">
        <v>1</v>
      </c>
      <c r="D55" s="2">
        <v>0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4"/>
    </row>
    <row r="56" spans="1:22" x14ac:dyDescent="0.3">
      <c r="A56" s="3">
        <v>0.5</v>
      </c>
      <c r="B56" s="2">
        <v>1</v>
      </c>
      <c r="C56" s="2">
        <v>1</v>
      </c>
      <c r="D56" s="2">
        <v>0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4"/>
    </row>
    <row r="57" spans="1:22" x14ac:dyDescent="0.3">
      <c r="A57" s="3">
        <v>0.51041666666666696</v>
      </c>
      <c r="B57" s="2">
        <v>1</v>
      </c>
      <c r="C57" s="2">
        <v>1</v>
      </c>
      <c r="D57" s="2">
        <v>0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4"/>
    </row>
    <row r="58" spans="1:22" x14ac:dyDescent="0.3">
      <c r="A58" s="3">
        <v>0.52083333333333304</v>
      </c>
      <c r="B58" s="2">
        <v>1</v>
      </c>
      <c r="C58" s="2">
        <v>1</v>
      </c>
      <c r="D58" s="2">
        <v>0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4"/>
    </row>
    <row r="59" spans="1:22" x14ac:dyDescent="0.3">
      <c r="A59" s="3">
        <v>0.53125</v>
      </c>
      <c r="B59" s="2">
        <v>1</v>
      </c>
      <c r="C59" s="2">
        <v>1</v>
      </c>
      <c r="D59" s="2">
        <v>0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4"/>
    </row>
    <row r="60" spans="1:22" x14ac:dyDescent="0.3">
      <c r="A60" s="3">
        <v>0.54166666666666696</v>
      </c>
      <c r="B60" s="2">
        <v>1</v>
      </c>
      <c r="C60" s="2">
        <v>1</v>
      </c>
      <c r="D60" s="2">
        <v>0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4"/>
    </row>
    <row r="61" spans="1:22" x14ac:dyDescent="0.3">
      <c r="A61" s="3">
        <v>0.55208333333333304</v>
      </c>
      <c r="B61" s="2">
        <v>1</v>
      </c>
      <c r="C61" s="2">
        <v>1</v>
      </c>
      <c r="D61" s="2">
        <v>0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4"/>
    </row>
    <row r="62" spans="1:22" x14ac:dyDescent="0.3">
      <c r="A62" s="3">
        <v>0.5625</v>
      </c>
      <c r="B62" s="2">
        <v>1</v>
      </c>
      <c r="C62" s="2">
        <v>1</v>
      </c>
      <c r="D62" s="2">
        <v>0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4"/>
    </row>
    <row r="63" spans="1:22" x14ac:dyDescent="0.3">
      <c r="A63" s="3">
        <v>0.57291666666666696</v>
      </c>
      <c r="B63" s="2">
        <v>1</v>
      </c>
      <c r="C63" s="2">
        <v>1</v>
      </c>
      <c r="D63" s="2">
        <v>0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4"/>
    </row>
    <row r="64" spans="1:22" x14ac:dyDescent="0.3">
      <c r="A64" s="3">
        <v>0.58333333333333304</v>
      </c>
      <c r="B64" s="2">
        <v>0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4"/>
    </row>
    <row r="65" spans="1:22" x14ac:dyDescent="0.3">
      <c r="A65" s="3">
        <v>0.59375</v>
      </c>
      <c r="B65" s="2">
        <v>0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4"/>
    </row>
    <row r="66" spans="1:22" x14ac:dyDescent="0.3">
      <c r="A66" s="3">
        <v>0.60416666666666696</v>
      </c>
      <c r="B66" s="2">
        <v>0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4"/>
    </row>
    <row r="67" spans="1:22" x14ac:dyDescent="0.3">
      <c r="A67" s="3">
        <v>0.61458333333333304</v>
      </c>
      <c r="B67" s="2">
        <v>0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4"/>
    </row>
    <row r="68" spans="1:22" x14ac:dyDescent="0.3">
      <c r="A68" s="3">
        <v>0.625</v>
      </c>
      <c r="B68" s="2">
        <v>0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4"/>
    </row>
    <row r="69" spans="1:22" x14ac:dyDescent="0.3">
      <c r="A69" s="3">
        <v>0.63541666666666696</v>
      </c>
      <c r="B69" s="2">
        <v>0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4"/>
    </row>
    <row r="70" spans="1:22" x14ac:dyDescent="0.3">
      <c r="A70" s="3">
        <v>0.64583333333333304</v>
      </c>
      <c r="B70" s="2">
        <v>0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4"/>
    </row>
    <row r="71" spans="1:22" x14ac:dyDescent="0.3">
      <c r="A71" s="3">
        <v>0.65625</v>
      </c>
      <c r="B71" s="2">
        <v>0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4"/>
    </row>
    <row r="72" spans="1:22" x14ac:dyDescent="0.3">
      <c r="A72" s="3">
        <v>0.66666666666666696</v>
      </c>
      <c r="B72" s="2">
        <v>0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4"/>
    </row>
    <row r="73" spans="1:22" x14ac:dyDescent="0.3">
      <c r="A73" s="3">
        <v>0.67708333333333304</v>
      </c>
      <c r="B73" s="2">
        <v>0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4"/>
    </row>
    <row r="74" spans="1:22" x14ac:dyDescent="0.3">
      <c r="A74" s="3">
        <v>0.6875</v>
      </c>
      <c r="B74" s="2">
        <v>0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4"/>
    </row>
    <row r="75" spans="1:22" x14ac:dyDescent="0.3">
      <c r="A75" s="3">
        <v>0.69791666666666696</v>
      </c>
      <c r="B75" s="2">
        <v>0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4"/>
    </row>
    <row r="76" spans="1:22" x14ac:dyDescent="0.3">
      <c r="A76" s="3">
        <v>0.70833333333333304</v>
      </c>
      <c r="B76" s="2">
        <v>0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4"/>
    </row>
    <row r="77" spans="1:22" x14ac:dyDescent="0.3">
      <c r="A77" s="3">
        <v>0.71875</v>
      </c>
      <c r="B77" s="2">
        <v>0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4"/>
    </row>
    <row r="78" spans="1:22" x14ac:dyDescent="0.3">
      <c r="A78" s="3">
        <v>0.72916666666666696</v>
      </c>
      <c r="B78" s="2">
        <v>0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4"/>
    </row>
    <row r="79" spans="1:22" x14ac:dyDescent="0.3">
      <c r="A79" s="3">
        <v>0.73958333333333304</v>
      </c>
      <c r="B79" s="2">
        <v>0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4"/>
    </row>
    <row r="80" spans="1:22" x14ac:dyDescent="0.3">
      <c r="A80" s="3">
        <v>0.75</v>
      </c>
      <c r="B80" s="2">
        <v>0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4"/>
    </row>
    <row r="81" spans="1:22" x14ac:dyDescent="0.3">
      <c r="A81" s="3">
        <v>0.76041666666666696</v>
      </c>
      <c r="B81" s="2">
        <v>0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4"/>
    </row>
    <row r="82" spans="1:22" x14ac:dyDescent="0.3">
      <c r="A82" s="3">
        <v>0.77083333333333304</v>
      </c>
      <c r="B82" s="2">
        <v>0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4"/>
    </row>
    <row r="83" spans="1:22" x14ac:dyDescent="0.3">
      <c r="A83" s="3">
        <v>0.78125</v>
      </c>
      <c r="B83" s="2">
        <v>0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4"/>
    </row>
    <row r="84" spans="1:22" x14ac:dyDescent="0.3">
      <c r="A84" s="3">
        <v>0.79166666666666696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4"/>
    </row>
    <row r="85" spans="1:22" x14ac:dyDescent="0.3">
      <c r="A85" s="3">
        <v>0.80208333333333304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4"/>
    </row>
    <row r="86" spans="1:22" x14ac:dyDescent="0.3">
      <c r="A86" s="3">
        <v>0.8125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4"/>
    </row>
    <row r="87" spans="1:22" x14ac:dyDescent="0.3">
      <c r="A87" s="3">
        <v>0.82291666666666696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4"/>
    </row>
    <row r="88" spans="1:22" x14ac:dyDescent="0.3">
      <c r="A88" s="3">
        <v>0.83333333333333304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4"/>
    </row>
    <row r="89" spans="1:22" x14ac:dyDescent="0.3">
      <c r="A89" s="3">
        <v>0.84375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4"/>
    </row>
    <row r="90" spans="1:22" x14ac:dyDescent="0.3">
      <c r="A90" s="3">
        <v>0.85416666666666696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4"/>
    </row>
    <row r="91" spans="1:22" x14ac:dyDescent="0.3">
      <c r="A91" s="3">
        <v>0.86458333333333304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4"/>
    </row>
    <row r="92" spans="1:22" x14ac:dyDescent="0.3">
      <c r="A92" s="3">
        <v>0.875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4"/>
    </row>
    <row r="93" spans="1:22" x14ac:dyDescent="0.3">
      <c r="A93" s="3">
        <v>0.88541666666666696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4"/>
    </row>
    <row r="94" spans="1:22" x14ac:dyDescent="0.3">
      <c r="A94" s="3">
        <v>0.89583333333333304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4"/>
    </row>
    <row r="95" spans="1:22" x14ac:dyDescent="0.3">
      <c r="A95" s="3">
        <v>0.90625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4"/>
    </row>
    <row r="96" spans="1:22" x14ac:dyDescent="0.3">
      <c r="A96" s="3">
        <v>0.91666666666666696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4"/>
    </row>
    <row r="97" spans="1:22" x14ac:dyDescent="0.3">
      <c r="A97" s="3">
        <v>0.92708333333333304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4"/>
    </row>
    <row r="98" spans="1:22" x14ac:dyDescent="0.3">
      <c r="A98" s="3">
        <v>0.9375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4"/>
    </row>
    <row r="99" spans="1:22" x14ac:dyDescent="0.3">
      <c r="A99" s="3">
        <v>0.94791666666666696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4"/>
    </row>
    <row r="100" spans="1:22" x14ac:dyDescent="0.3">
      <c r="A100" s="3">
        <v>0.95833333333333304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4"/>
    </row>
    <row r="101" spans="1:22" x14ac:dyDescent="0.3">
      <c r="A101" s="3">
        <v>0.96875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4"/>
    </row>
    <row r="102" spans="1:22" x14ac:dyDescent="0.3">
      <c r="A102" s="3">
        <v>0.97916666666666696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4"/>
    </row>
    <row r="103" spans="1:22" x14ac:dyDescent="0.3">
      <c r="A103" s="3">
        <v>0.98958333333333304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4"/>
    </row>
    <row r="104" spans="1:22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</sheetData>
  <phoneticPr fontId="3" type="noConversion"/>
  <conditionalFormatting sqref="B8:U103">
    <cfRule type="cellIs" dxfId="1" priority="1" operator="equal">
      <formula>0</formula>
    </cfRule>
    <cfRule type="cellIs" dxfId="0" priority="2" operator="equal">
      <formula>1</formula>
    </cfRule>
  </conditionalFormatting>
  <dataValidations count="3">
    <dataValidation type="decimal" operator="greaterThanOrEqual" allowBlank="1" showInputMessage="1" showErrorMessage="1" errorTitle="Error" error="Invalid wage rate, please enter a number." sqref="B5:U6" xr:uid="{DFEFA125-66DC-4A48-9EFE-5216164DC7C0}">
      <formula1>0</formula1>
    </dataValidation>
    <dataValidation type="whole" showInputMessage="1" showErrorMessage="1" errorTitle="Error" error="Input 1 for available and 0 for unavailable" sqref="B8:U103" xr:uid="{BD601361-505A-4D5C-8FFA-F78D83EB8131}">
      <formula1>0</formula1>
      <formula2>1</formula2>
    </dataValidation>
    <dataValidation type="list" allowBlank="1" showInputMessage="1" showErrorMessage="1" errorTitle="Error" error="Role Type Not Found." sqref="B4:U4" xr:uid="{764F770B-0218-46D7-B38C-8B2712F28294}">
      <formula1>ROLE_NAME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06CE-01D2-440A-8FC0-3C321C9F0B40}">
  <sheetPr codeName="Sheet2"/>
  <dimension ref="A1:U97"/>
  <sheetViews>
    <sheetView workbookViewId="0">
      <selection activeCell="X21" sqref="X21"/>
    </sheetView>
  </sheetViews>
  <sheetFormatPr defaultRowHeight="14.4" x14ac:dyDescent="0.3"/>
  <cols>
    <col min="1" max="1" width="12.6640625" customWidth="1"/>
  </cols>
  <sheetData>
    <row r="1" spans="1:21" s="11" customFormat="1" x14ac:dyDescent="0.3">
      <c r="A1" s="3" t="str">
        <f>Members!A7</f>
        <v xml:space="preserve">  Availability</v>
      </c>
      <c r="B1" s="11" t="str" cm="1">
        <f t="array" ref="B1:U1">_xlfn.TOROW(Members!B3:XFD3, 3)</f>
        <v>Jacob</v>
      </c>
      <c r="C1" s="11" t="str">
        <v>Vicky</v>
      </c>
      <c r="D1" s="11" t="str">
        <v>Monita</v>
      </c>
      <c r="E1" s="11" t="str">
        <v>Ray</v>
      </c>
      <c r="F1" s="11" t="str">
        <v>Bonnie</v>
      </c>
      <c r="G1" s="11" t="str">
        <v>Sheila</v>
      </c>
      <c r="H1" s="11" t="str">
        <v>Rajesh</v>
      </c>
      <c r="I1" s="11" t="str">
        <v>Ramesh</v>
      </c>
      <c r="J1" s="11" t="str">
        <v>Raj</v>
      </c>
      <c r="K1" s="11" t="str">
        <v>Sara</v>
      </c>
      <c r="L1" s="11" t="str">
        <v>Cam 1</v>
      </c>
      <c r="M1" s="11" t="str">
        <v>Cam 2</v>
      </c>
      <c r="N1" s="11" t="str">
        <v>x</v>
      </c>
      <c r="O1" s="11" t="str">
        <v>x</v>
      </c>
      <c r="P1" s="11" t="str">
        <v>x</v>
      </c>
      <c r="Q1" s="11" t="str">
        <v>x</v>
      </c>
      <c r="R1" s="11" t="str">
        <v>x</v>
      </c>
      <c r="S1" s="11" t="str">
        <v>x</v>
      </c>
      <c r="T1" s="11" t="str">
        <v>x</v>
      </c>
      <c r="U1" s="11" t="str">
        <v>x</v>
      </c>
    </row>
    <row r="2" spans="1:21" x14ac:dyDescent="0.3">
      <c r="A2" s="3">
        <v>0</v>
      </c>
      <c r="B2" s="2">
        <f>IF(B1="", "", Members!B8)</f>
        <v>0</v>
      </c>
      <c r="C2" s="2">
        <f>IF(C1="", "", Members!C8)</f>
        <v>0</v>
      </c>
      <c r="D2" s="2">
        <f>IF(D1="", "", Members!D8)</f>
        <v>0</v>
      </c>
      <c r="E2" s="2">
        <f>IF(E1="", "", Members!E8)</f>
        <v>0</v>
      </c>
      <c r="F2" s="2">
        <f>IF(F1="", "", Members!F8)</f>
        <v>0</v>
      </c>
      <c r="G2" s="2">
        <f>IF(G1="", "", Members!G8)</f>
        <v>0</v>
      </c>
      <c r="H2" s="2">
        <f>IF(H1="", "", Members!H8)</f>
        <v>0</v>
      </c>
      <c r="I2" s="2">
        <f>IF(I1="", "", Members!I8)</f>
        <v>0</v>
      </c>
      <c r="J2" s="2">
        <f>IF(J1="", "", Members!J8)</f>
        <v>0</v>
      </c>
      <c r="K2" s="2">
        <f>IF(K1="", "", Members!K8)</f>
        <v>0</v>
      </c>
      <c r="L2" s="2">
        <f>IF(L1="", "", Members!L8)</f>
        <v>0</v>
      </c>
      <c r="M2" s="2">
        <f>IF(M1="", "", Members!M8)</f>
        <v>0</v>
      </c>
      <c r="N2" s="2">
        <f>IF(N1="", "", Members!N8)</f>
        <v>0</v>
      </c>
      <c r="O2" s="2">
        <f>IF(O1="", "", Members!O8)</f>
        <v>0</v>
      </c>
      <c r="P2" s="2">
        <f>IF(P1="", "", Members!P8)</f>
        <v>0</v>
      </c>
      <c r="Q2" s="2">
        <f>IF(Q1="", "", Members!Q8)</f>
        <v>0</v>
      </c>
      <c r="R2" s="2">
        <f>IF(R1="", "", Members!R8)</f>
        <v>0</v>
      </c>
      <c r="S2" s="2">
        <f>IF(S1="", "", Members!S8)</f>
        <v>0</v>
      </c>
      <c r="T2" s="2">
        <f>IF(T1="", "", Members!T8)</f>
        <v>0</v>
      </c>
      <c r="U2" s="2">
        <f>IF(U1="", "", Members!U8)</f>
        <v>0</v>
      </c>
    </row>
    <row r="3" spans="1:21" x14ac:dyDescent="0.3">
      <c r="A3" s="3">
        <v>1.0416666666666666E-2</v>
      </c>
      <c r="B3" s="2">
        <f>IF(B2="", "", Members!B9)</f>
        <v>0</v>
      </c>
      <c r="C3" s="2">
        <f>IF(C2="", "", Members!C9)</f>
        <v>0</v>
      </c>
      <c r="D3" s="2">
        <f>IF(D2="", "", Members!D9)</f>
        <v>0</v>
      </c>
      <c r="E3" s="2">
        <f>IF(E2="", "", Members!E9)</f>
        <v>0</v>
      </c>
      <c r="F3" s="2">
        <f>IF(F2="", "", Members!F9)</f>
        <v>0</v>
      </c>
      <c r="G3" s="2">
        <f>IF(G2="", "", Members!G9)</f>
        <v>0</v>
      </c>
      <c r="H3" s="2">
        <f>IF(H2="", "", Members!H9)</f>
        <v>0</v>
      </c>
      <c r="I3" s="2">
        <f>IF(I2="", "", Members!I9)</f>
        <v>0</v>
      </c>
      <c r="J3" s="2">
        <f>IF(J2="", "", Members!J9)</f>
        <v>0</v>
      </c>
      <c r="K3" s="2">
        <f>IF(K2="", "", Members!K9)</f>
        <v>0</v>
      </c>
      <c r="L3" s="2">
        <f>IF(L2="", "", Members!L9)</f>
        <v>0</v>
      </c>
      <c r="M3" s="2">
        <f>IF(M2="", "", Members!M9)</f>
        <v>0</v>
      </c>
      <c r="N3" s="2">
        <f>IF(N2="", "", Members!N9)</f>
        <v>0</v>
      </c>
      <c r="O3" s="2">
        <f>IF(O2="", "", Members!O9)</f>
        <v>0</v>
      </c>
      <c r="P3" s="2">
        <f>IF(P2="", "", Members!P9)</f>
        <v>0</v>
      </c>
      <c r="Q3" s="2">
        <f>IF(Q2="", "", Members!Q9)</f>
        <v>0</v>
      </c>
      <c r="R3" s="2">
        <f>IF(R2="", "", Members!R9)</f>
        <v>0</v>
      </c>
      <c r="S3" s="2">
        <f>IF(S2="", "", Members!S9)</f>
        <v>0</v>
      </c>
      <c r="T3" s="2">
        <f>IF(T2="", "", Members!T9)</f>
        <v>0</v>
      </c>
      <c r="U3" s="2">
        <f>IF(U2="", "", Members!U9)</f>
        <v>0</v>
      </c>
    </row>
    <row r="4" spans="1:21" x14ac:dyDescent="0.3">
      <c r="A4" s="3">
        <v>2.0833333333333301E-2</v>
      </c>
      <c r="B4" s="2">
        <f>IF(B3="", "", Members!B10)</f>
        <v>0</v>
      </c>
      <c r="C4" s="2">
        <f>IF(C3="", "", Members!C10)</f>
        <v>0</v>
      </c>
      <c r="D4" s="2">
        <f>IF(D3="", "", Members!D10)</f>
        <v>0</v>
      </c>
      <c r="E4" s="2">
        <f>IF(E3="", "", Members!E10)</f>
        <v>0</v>
      </c>
      <c r="F4" s="2">
        <f>IF(F3="", "", Members!F10)</f>
        <v>0</v>
      </c>
      <c r="G4" s="2">
        <f>IF(G3="", "", Members!G10)</f>
        <v>0</v>
      </c>
      <c r="H4" s="2">
        <f>IF(H3="", "", Members!H10)</f>
        <v>0</v>
      </c>
      <c r="I4" s="2">
        <f>IF(I3="", "", Members!I10)</f>
        <v>0</v>
      </c>
      <c r="J4" s="2">
        <f>IF(J3="", "", Members!J10)</f>
        <v>0</v>
      </c>
      <c r="K4" s="2">
        <f>IF(K3="", "", Members!K10)</f>
        <v>0</v>
      </c>
      <c r="L4" s="2">
        <f>IF(L3="", "", Members!L10)</f>
        <v>0</v>
      </c>
      <c r="M4" s="2">
        <f>IF(M3="", "", Members!M10)</f>
        <v>0</v>
      </c>
      <c r="N4" s="2">
        <f>IF(N3="", "", Members!N10)</f>
        <v>0</v>
      </c>
      <c r="O4" s="2">
        <f>IF(O3="", "", Members!O10)</f>
        <v>0</v>
      </c>
      <c r="P4" s="2">
        <f>IF(P3="", "", Members!P10)</f>
        <v>0</v>
      </c>
      <c r="Q4" s="2">
        <f>IF(Q3="", "", Members!Q10)</f>
        <v>0</v>
      </c>
      <c r="R4" s="2">
        <f>IF(R3="", "", Members!R10)</f>
        <v>0</v>
      </c>
      <c r="S4" s="2">
        <f>IF(S3="", "", Members!S10)</f>
        <v>0</v>
      </c>
      <c r="T4" s="2">
        <f>IF(T3="", "", Members!T10)</f>
        <v>0</v>
      </c>
      <c r="U4" s="2">
        <f>IF(U3="", "", Members!U10)</f>
        <v>0</v>
      </c>
    </row>
    <row r="5" spans="1:21" x14ac:dyDescent="0.3">
      <c r="A5" s="3">
        <v>3.125E-2</v>
      </c>
      <c r="B5" s="2">
        <f>IF(B4="", "", Members!B11)</f>
        <v>0</v>
      </c>
      <c r="C5" s="2">
        <f>IF(C4="", "", Members!C11)</f>
        <v>0</v>
      </c>
      <c r="D5" s="2">
        <f>IF(D4="", "", Members!D11)</f>
        <v>0</v>
      </c>
      <c r="E5" s="2">
        <f>IF(E4="", "", Members!E11)</f>
        <v>0</v>
      </c>
      <c r="F5" s="2">
        <f>IF(F4="", "", Members!F11)</f>
        <v>0</v>
      </c>
      <c r="G5" s="2">
        <f>IF(G4="", "", Members!G11)</f>
        <v>0</v>
      </c>
      <c r="H5" s="2">
        <f>IF(H4="", "", Members!H11)</f>
        <v>0</v>
      </c>
      <c r="I5" s="2">
        <f>IF(I4="", "", Members!I11)</f>
        <v>0</v>
      </c>
      <c r="J5" s="2">
        <f>IF(J4="", "", Members!J11)</f>
        <v>0</v>
      </c>
      <c r="K5" s="2">
        <f>IF(K4="", "", Members!K11)</f>
        <v>0</v>
      </c>
      <c r="L5" s="2">
        <f>IF(L4="", "", Members!L11)</f>
        <v>0</v>
      </c>
      <c r="M5" s="2">
        <f>IF(M4="", "", Members!M11)</f>
        <v>0</v>
      </c>
      <c r="N5" s="2">
        <f>IF(N4="", "", Members!N11)</f>
        <v>0</v>
      </c>
      <c r="O5" s="2">
        <f>IF(O4="", "", Members!O11)</f>
        <v>0</v>
      </c>
      <c r="P5" s="2">
        <f>IF(P4="", "", Members!P11)</f>
        <v>0</v>
      </c>
      <c r="Q5" s="2">
        <f>IF(Q4="", "", Members!Q11)</f>
        <v>0</v>
      </c>
      <c r="R5" s="2">
        <f>IF(R4="", "", Members!R11)</f>
        <v>0</v>
      </c>
      <c r="S5" s="2">
        <f>IF(S4="", "", Members!S11)</f>
        <v>0</v>
      </c>
      <c r="T5" s="2">
        <f>IF(T4="", "", Members!T11)</f>
        <v>0</v>
      </c>
      <c r="U5" s="2">
        <f>IF(U4="", "", Members!U11)</f>
        <v>0</v>
      </c>
    </row>
    <row r="6" spans="1:21" x14ac:dyDescent="0.3">
      <c r="A6" s="3">
        <v>4.1666666666666699E-2</v>
      </c>
      <c r="B6" s="2">
        <f>IF(B5="", "", Members!B12)</f>
        <v>0</v>
      </c>
      <c r="C6" s="2">
        <f>IF(C5="", "", Members!C12)</f>
        <v>0</v>
      </c>
      <c r="D6" s="2">
        <f>IF(D5="", "", Members!D12)</f>
        <v>0</v>
      </c>
      <c r="E6" s="2">
        <f>IF(E5="", "", Members!E12)</f>
        <v>0</v>
      </c>
      <c r="F6" s="2">
        <f>IF(F5="", "", Members!F12)</f>
        <v>0</v>
      </c>
      <c r="G6" s="2">
        <f>IF(G5="", "", Members!G12)</f>
        <v>0</v>
      </c>
      <c r="H6" s="2">
        <f>IF(H5="", "", Members!H12)</f>
        <v>0</v>
      </c>
      <c r="I6" s="2">
        <f>IF(I5="", "", Members!I12)</f>
        <v>0</v>
      </c>
      <c r="J6" s="2">
        <f>IF(J5="", "", Members!J12)</f>
        <v>0</v>
      </c>
      <c r="K6" s="2">
        <f>IF(K5="", "", Members!K12)</f>
        <v>0</v>
      </c>
      <c r="L6" s="2">
        <f>IF(L5="", "", Members!L12)</f>
        <v>0</v>
      </c>
      <c r="M6" s="2">
        <f>IF(M5="", "", Members!M12)</f>
        <v>0</v>
      </c>
      <c r="N6" s="2">
        <f>IF(N5="", "", Members!N12)</f>
        <v>0</v>
      </c>
      <c r="O6" s="2">
        <f>IF(O5="", "", Members!O12)</f>
        <v>0</v>
      </c>
      <c r="P6" s="2">
        <f>IF(P5="", "", Members!P12)</f>
        <v>0</v>
      </c>
      <c r="Q6" s="2">
        <f>IF(Q5="", "", Members!Q12)</f>
        <v>0</v>
      </c>
      <c r="R6" s="2">
        <f>IF(R5="", "", Members!R12)</f>
        <v>0</v>
      </c>
      <c r="S6" s="2">
        <f>IF(S5="", "", Members!S12)</f>
        <v>0</v>
      </c>
      <c r="T6" s="2">
        <f>IF(T5="", "", Members!T12)</f>
        <v>0</v>
      </c>
      <c r="U6" s="2">
        <f>IF(U5="", "", Members!U12)</f>
        <v>0</v>
      </c>
    </row>
    <row r="7" spans="1:21" x14ac:dyDescent="0.3">
      <c r="A7" s="3">
        <v>5.2083333333333301E-2</v>
      </c>
      <c r="B7" s="2">
        <f>IF(B6="", "", Members!B13)</f>
        <v>0</v>
      </c>
      <c r="C7" s="2">
        <f>IF(C6="", "", Members!C13)</f>
        <v>0</v>
      </c>
      <c r="D7" s="2">
        <f>IF(D6="", "", Members!D13)</f>
        <v>0</v>
      </c>
      <c r="E7" s="2">
        <f>IF(E6="", "", Members!E13)</f>
        <v>0</v>
      </c>
      <c r="F7" s="2">
        <f>IF(F6="", "", Members!F13)</f>
        <v>0</v>
      </c>
      <c r="G7" s="2">
        <f>IF(G6="", "", Members!G13)</f>
        <v>0</v>
      </c>
      <c r="H7" s="2">
        <f>IF(H6="", "", Members!H13)</f>
        <v>0</v>
      </c>
      <c r="I7" s="2">
        <f>IF(I6="", "", Members!I13)</f>
        <v>0</v>
      </c>
      <c r="J7" s="2">
        <f>IF(J6="", "", Members!J13)</f>
        <v>0</v>
      </c>
      <c r="K7" s="2">
        <f>IF(K6="", "", Members!K13)</f>
        <v>0</v>
      </c>
      <c r="L7" s="2">
        <f>IF(L6="", "", Members!L13)</f>
        <v>0</v>
      </c>
      <c r="M7" s="2">
        <f>IF(M6="", "", Members!M13)</f>
        <v>0</v>
      </c>
      <c r="N7" s="2">
        <f>IF(N6="", "", Members!N13)</f>
        <v>0</v>
      </c>
      <c r="O7" s="2">
        <f>IF(O6="", "", Members!O13)</f>
        <v>0</v>
      </c>
      <c r="P7" s="2">
        <f>IF(P6="", "", Members!P13)</f>
        <v>0</v>
      </c>
      <c r="Q7" s="2">
        <f>IF(Q6="", "", Members!Q13)</f>
        <v>0</v>
      </c>
      <c r="R7" s="2">
        <f>IF(R6="", "", Members!R13)</f>
        <v>0</v>
      </c>
      <c r="S7" s="2">
        <f>IF(S6="", "", Members!S13)</f>
        <v>0</v>
      </c>
      <c r="T7" s="2">
        <f>IF(T6="", "", Members!T13)</f>
        <v>0</v>
      </c>
      <c r="U7" s="2">
        <f>IF(U6="", "", Members!U13)</f>
        <v>0</v>
      </c>
    </row>
    <row r="8" spans="1:21" x14ac:dyDescent="0.3">
      <c r="A8" s="3">
        <v>6.25E-2</v>
      </c>
      <c r="B8" s="2">
        <f>IF(B7="", "", Members!B14)</f>
        <v>0</v>
      </c>
      <c r="C8" s="2">
        <f>IF(C7="", "", Members!C14)</f>
        <v>0</v>
      </c>
      <c r="D8" s="2">
        <f>IF(D7="", "", Members!D14)</f>
        <v>0</v>
      </c>
      <c r="E8" s="2">
        <f>IF(E7="", "", Members!E14)</f>
        <v>0</v>
      </c>
      <c r="F8" s="2">
        <f>IF(F7="", "", Members!F14)</f>
        <v>0</v>
      </c>
      <c r="G8" s="2">
        <f>IF(G7="", "", Members!G14)</f>
        <v>0</v>
      </c>
      <c r="H8" s="2">
        <f>IF(H7="", "", Members!H14)</f>
        <v>0</v>
      </c>
      <c r="I8" s="2">
        <f>IF(I7="", "", Members!I14)</f>
        <v>0</v>
      </c>
      <c r="J8" s="2">
        <f>IF(J7="", "", Members!J14)</f>
        <v>0</v>
      </c>
      <c r="K8" s="2">
        <f>IF(K7="", "", Members!K14)</f>
        <v>0</v>
      </c>
      <c r="L8" s="2">
        <f>IF(L7="", "", Members!L14)</f>
        <v>0</v>
      </c>
      <c r="M8" s="2">
        <f>IF(M7="", "", Members!M14)</f>
        <v>0</v>
      </c>
      <c r="N8" s="2">
        <f>IF(N7="", "", Members!N14)</f>
        <v>0</v>
      </c>
      <c r="O8" s="2">
        <f>IF(O7="", "", Members!O14)</f>
        <v>0</v>
      </c>
      <c r="P8" s="2">
        <f>IF(P7="", "", Members!P14)</f>
        <v>0</v>
      </c>
      <c r="Q8" s="2">
        <f>IF(Q7="", "", Members!Q14)</f>
        <v>0</v>
      </c>
      <c r="R8" s="2">
        <f>IF(R7="", "", Members!R14)</f>
        <v>0</v>
      </c>
      <c r="S8" s="2">
        <f>IF(S7="", "", Members!S14)</f>
        <v>0</v>
      </c>
      <c r="T8" s="2">
        <f>IF(T7="", "", Members!T14)</f>
        <v>0</v>
      </c>
      <c r="U8" s="2">
        <f>IF(U7="", "", Members!U14)</f>
        <v>0</v>
      </c>
    </row>
    <row r="9" spans="1:21" x14ac:dyDescent="0.3">
      <c r="A9" s="3">
        <v>7.2916666666666699E-2</v>
      </c>
      <c r="B9" s="2">
        <f>IF(B8="", "", Members!B15)</f>
        <v>0</v>
      </c>
      <c r="C9" s="2">
        <f>IF(C8="", "", Members!C15)</f>
        <v>0</v>
      </c>
      <c r="D9" s="2">
        <f>IF(D8="", "", Members!D15)</f>
        <v>0</v>
      </c>
      <c r="E9" s="2">
        <f>IF(E8="", "", Members!E15)</f>
        <v>0</v>
      </c>
      <c r="F9" s="2">
        <f>IF(F8="", "", Members!F15)</f>
        <v>0</v>
      </c>
      <c r="G9" s="2">
        <f>IF(G8="", "", Members!G15)</f>
        <v>0</v>
      </c>
      <c r="H9" s="2">
        <f>IF(H8="", "", Members!H15)</f>
        <v>0</v>
      </c>
      <c r="I9" s="2">
        <f>IF(I8="", "", Members!I15)</f>
        <v>0</v>
      </c>
      <c r="J9" s="2">
        <f>IF(J8="", "", Members!J15)</f>
        <v>0</v>
      </c>
      <c r="K9" s="2">
        <f>IF(K8="", "", Members!K15)</f>
        <v>0</v>
      </c>
      <c r="L9" s="2">
        <f>IF(L8="", "", Members!L15)</f>
        <v>0</v>
      </c>
      <c r="M9" s="2">
        <f>IF(M8="", "", Members!M15)</f>
        <v>0</v>
      </c>
      <c r="N9" s="2">
        <f>IF(N8="", "", Members!N15)</f>
        <v>0</v>
      </c>
      <c r="O9" s="2">
        <f>IF(O8="", "", Members!O15)</f>
        <v>0</v>
      </c>
      <c r="P9" s="2">
        <f>IF(P8="", "", Members!P15)</f>
        <v>0</v>
      </c>
      <c r="Q9" s="2">
        <f>IF(Q8="", "", Members!Q15)</f>
        <v>0</v>
      </c>
      <c r="R9" s="2">
        <f>IF(R8="", "", Members!R15)</f>
        <v>0</v>
      </c>
      <c r="S9" s="2">
        <f>IF(S8="", "", Members!S15)</f>
        <v>0</v>
      </c>
      <c r="T9" s="2">
        <f>IF(T8="", "", Members!T15)</f>
        <v>0</v>
      </c>
      <c r="U9" s="2">
        <f>IF(U8="", "", Members!U15)</f>
        <v>0</v>
      </c>
    </row>
    <row r="10" spans="1:21" x14ac:dyDescent="0.3">
      <c r="A10" s="3">
        <v>8.3333333333333301E-2</v>
      </c>
      <c r="B10" s="2">
        <f>IF(B9="", "", Members!B16)</f>
        <v>0</v>
      </c>
      <c r="C10" s="2">
        <f>IF(C9="", "", Members!C16)</f>
        <v>0</v>
      </c>
      <c r="D10" s="2">
        <f>IF(D9="", "", Members!D16)</f>
        <v>0</v>
      </c>
      <c r="E10" s="2">
        <f>IF(E9="", "", Members!E16)</f>
        <v>0</v>
      </c>
      <c r="F10" s="2">
        <f>IF(F9="", "", Members!F16)</f>
        <v>0</v>
      </c>
      <c r="G10" s="2">
        <f>IF(G9="", "", Members!G16)</f>
        <v>0</v>
      </c>
      <c r="H10" s="2">
        <f>IF(H9="", "", Members!H16)</f>
        <v>0</v>
      </c>
      <c r="I10" s="2">
        <f>IF(I9="", "", Members!I16)</f>
        <v>0</v>
      </c>
      <c r="J10" s="2">
        <f>IF(J9="", "", Members!J16)</f>
        <v>0</v>
      </c>
      <c r="K10" s="2">
        <f>IF(K9="", "", Members!K16)</f>
        <v>0</v>
      </c>
      <c r="L10" s="2">
        <f>IF(L9="", "", Members!L16)</f>
        <v>0</v>
      </c>
      <c r="M10" s="2">
        <f>IF(M9="", "", Members!M16)</f>
        <v>0</v>
      </c>
      <c r="N10" s="2">
        <f>IF(N9="", "", Members!N16)</f>
        <v>0</v>
      </c>
      <c r="O10" s="2">
        <f>IF(O9="", "", Members!O16)</f>
        <v>0</v>
      </c>
      <c r="P10" s="2">
        <f>IF(P9="", "", Members!P16)</f>
        <v>0</v>
      </c>
      <c r="Q10" s="2">
        <f>IF(Q9="", "", Members!Q16)</f>
        <v>0</v>
      </c>
      <c r="R10" s="2">
        <f>IF(R9="", "", Members!R16)</f>
        <v>0</v>
      </c>
      <c r="S10" s="2">
        <f>IF(S9="", "", Members!S16)</f>
        <v>0</v>
      </c>
      <c r="T10" s="2">
        <f>IF(T9="", "", Members!T16)</f>
        <v>0</v>
      </c>
      <c r="U10" s="2">
        <f>IF(U9="", "", Members!U16)</f>
        <v>0</v>
      </c>
    </row>
    <row r="11" spans="1:21" x14ac:dyDescent="0.3">
      <c r="A11" s="3">
        <v>9.375E-2</v>
      </c>
      <c r="B11" s="2">
        <f>IF(B10="", "", Members!B17)</f>
        <v>0</v>
      </c>
      <c r="C11" s="2">
        <f>IF(C10="", "", Members!C17)</f>
        <v>0</v>
      </c>
      <c r="D11" s="2">
        <f>IF(D10="", "", Members!D17)</f>
        <v>0</v>
      </c>
      <c r="E11" s="2">
        <f>IF(E10="", "", Members!E17)</f>
        <v>0</v>
      </c>
      <c r="F11" s="2">
        <f>IF(F10="", "", Members!F17)</f>
        <v>0</v>
      </c>
      <c r="G11" s="2">
        <f>IF(G10="", "", Members!G17)</f>
        <v>0</v>
      </c>
      <c r="H11" s="2">
        <f>IF(H10="", "", Members!H17)</f>
        <v>0</v>
      </c>
      <c r="I11" s="2">
        <f>IF(I10="", "", Members!I17)</f>
        <v>0</v>
      </c>
      <c r="J11" s="2">
        <f>IF(J10="", "", Members!J17)</f>
        <v>0</v>
      </c>
      <c r="K11" s="2">
        <f>IF(K10="", "", Members!K17)</f>
        <v>0</v>
      </c>
      <c r="L11" s="2">
        <f>IF(L10="", "", Members!L17)</f>
        <v>0</v>
      </c>
      <c r="M11" s="2">
        <f>IF(M10="", "", Members!M17)</f>
        <v>0</v>
      </c>
      <c r="N11" s="2">
        <f>IF(N10="", "", Members!N17)</f>
        <v>0</v>
      </c>
      <c r="O11" s="2">
        <f>IF(O10="", "", Members!O17)</f>
        <v>0</v>
      </c>
      <c r="P11" s="2">
        <f>IF(P10="", "", Members!P17)</f>
        <v>0</v>
      </c>
      <c r="Q11" s="2">
        <f>IF(Q10="", "", Members!Q17)</f>
        <v>0</v>
      </c>
      <c r="R11" s="2">
        <f>IF(R10="", "", Members!R17)</f>
        <v>0</v>
      </c>
      <c r="S11" s="2">
        <f>IF(S10="", "", Members!S17)</f>
        <v>0</v>
      </c>
      <c r="T11" s="2">
        <f>IF(T10="", "", Members!T17)</f>
        <v>0</v>
      </c>
      <c r="U11" s="2">
        <f>IF(U10="", "", Members!U17)</f>
        <v>0</v>
      </c>
    </row>
    <row r="12" spans="1:21" x14ac:dyDescent="0.3">
      <c r="A12" s="3">
        <v>0.104166666666667</v>
      </c>
      <c r="B12" s="2">
        <f>IF(B11="", "", Members!B18)</f>
        <v>0</v>
      </c>
      <c r="C12" s="2">
        <f>IF(C11="", "", Members!C18)</f>
        <v>0</v>
      </c>
      <c r="D12" s="2">
        <f>IF(D11="", "", Members!D18)</f>
        <v>0</v>
      </c>
      <c r="E12" s="2">
        <f>IF(E11="", "", Members!E18)</f>
        <v>0</v>
      </c>
      <c r="F12" s="2">
        <f>IF(F11="", "", Members!F18)</f>
        <v>0</v>
      </c>
      <c r="G12" s="2">
        <f>IF(G11="", "", Members!G18)</f>
        <v>0</v>
      </c>
      <c r="H12" s="2">
        <f>IF(H11="", "", Members!H18)</f>
        <v>0</v>
      </c>
      <c r="I12" s="2">
        <f>IF(I11="", "", Members!I18)</f>
        <v>0</v>
      </c>
      <c r="J12" s="2">
        <f>IF(J11="", "", Members!J18)</f>
        <v>0</v>
      </c>
      <c r="K12" s="2">
        <f>IF(K11="", "", Members!K18)</f>
        <v>0</v>
      </c>
      <c r="L12" s="2">
        <f>IF(L11="", "", Members!L18)</f>
        <v>0</v>
      </c>
      <c r="M12" s="2">
        <f>IF(M11="", "", Members!M18)</f>
        <v>0</v>
      </c>
      <c r="N12" s="2">
        <f>IF(N11="", "", Members!N18)</f>
        <v>0</v>
      </c>
      <c r="O12" s="2">
        <f>IF(O11="", "", Members!O18)</f>
        <v>0</v>
      </c>
      <c r="P12" s="2">
        <f>IF(P11="", "", Members!P18)</f>
        <v>0</v>
      </c>
      <c r="Q12" s="2">
        <f>IF(Q11="", "", Members!Q18)</f>
        <v>0</v>
      </c>
      <c r="R12" s="2">
        <f>IF(R11="", "", Members!R18)</f>
        <v>0</v>
      </c>
      <c r="S12" s="2">
        <f>IF(S11="", "", Members!S18)</f>
        <v>0</v>
      </c>
      <c r="T12" s="2">
        <f>IF(T11="", "", Members!T18)</f>
        <v>0</v>
      </c>
      <c r="U12" s="2">
        <f>IF(U11="", "", Members!U18)</f>
        <v>0</v>
      </c>
    </row>
    <row r="13" spans="1:21" x14ac:dyDescent="0.3">
      <c r="A13" s="3">
        <v>0.114583333333333</v>
      </c>
      <c r="B13" s="2">
        <f>IF(B12="", "", Members!B19)</f>
        <v>0</v>
      </c>
      <c r="C13" s="2">
        <f>IF(C12="", "", Members!C19)</f>
        <v>0</v>
      </c>
      <c r="D13" s="2">
        <f>IF(D12="", "", Members!D19)</f>
        <v>0</v>
      </c>
      <c r="E13" s="2">
        <f>IF(E12="", "", Members!E19)</f>
        <v>0</v>
      </c>
      <c r="F13" s="2">
        <f>IF(F12="", "", Members!F19)</f>
        <v>0</v>
      </c>
      <c r="G13" s="2">
        <f>IF(G12="", "", Members!G19)</f>
        <v>0</v>
      </c>
      <c r="H13" s="2">
        <f>IF(H12="", "", Members!H19)</f>
        <v>0</v>
      </c>
      <c r="I13" s="2">
        <f>IF(I12="", "", Members!I19)</f>
        <v>0</v>
      </c>
      <c r="J13" s="2">
        <f>IF(J12="", "", Members!J19)</f>
        <v>0</v>
      </c>
      <c r="K13" s="2">
        <f>IF(K12="", "", Members!K19)</f>
        <v>0</v>
      </c>
      <c r="L13" s="2">
        <f>IF(L12="", "", Members!L19)</f>
        <v>0</v>
      </c>
      <c r="M13" s="2">
        <f>IF(M12="", "", Members!M19)</f>
        <v>0</v>
      </c>
      <c r="N13" s="2">
        <f>IF(N12="", "", Members!N19)</f>
        <v>0</v>
      </c>
      <c r="O13" s="2">
        <f>IF(O12="", "", Members!O19)</f>
        <v>0</v>
      </c>
      <c r="P13" s="2">
        <f>IF(P12="", "", Members!P19)</f>
        <v>0</v>
      </c>
      <c r="Q13" s="2">
        <f>IF(Q12="", "", Members!Q19)</f>
        <v>0</v>
      </c>
      <c r="R13" s="2">
        <f>IF(R12="", "", Members!R19)</f>
        <v>0</v>
      </c>
      <c r="S13" s="2">
        <f>IF(S12="", "", Members!S19)</f>
        <v>0</v>
      </c>
      <c r="T13" s="2">
        <f>IF(T12="", "", Members!T19)</f>
        <v>0</v>
      </c>
      <c r="U13" s="2">
        <f>IF(U12="", "", Members!U19)</f>
        <v>0</v>
      </c>
    </row>
    <row r="14" spans="1:21" x14ac:dyDescent="0.3">
      <c r="A14" s="3">
        <v>0.125</v>
      </c>
      <c r="B14" s="2">
        <f>IF(B13="", "", Members!B20)</f>
        <v>0</v>
      </c>
      <c r="C14" s="2">
        <f>IF(C13="", "", Members!C20)</f>
        <v>0</v>
      </c>
      <c r="D14" s="2">
        <f>IF(D13="", "", Members!D20)</f>
        <v>0</v>
      </c>
      <c r="E14" s="2">
        <f>IF(E13="", "", Members!E20)</f>
        <v>0</v>
      </c>
      <c r="F14" s="2">
        <f>IF(F13="", "", Members!F20)</f>
        <v>0</v>
      </c>
      <c r="G14" s="2">
        <f>IF(G13="", "", Members!G20)</f>
        <v>0</v>
      </c>
      <c r="H14" s="2">
        <f>IF(H13="", "", Members!H20)</f>
        <v>0</v>
      </c>
      <c r="I14" s="2">
        <f>IF(I13="", "", Members!I20)</f>
        <v>0</v>
      </c>
      <c r="J14" s="2">
        <f>IF(J13="", "", Members!J20)</f>
        <v>0</v>
      </c>
      <c r="K14" s="2">
        <f>IF(K13="", "", Members!K20)</f>
        <v>0</v>
      </c>
      <c r="L14" s="2">
        <f>IF(L13="", "", Members!L20)</f>
        <v>0</v>
      </c>
      <c r="M14" s="2">
        <f>IF(M13="", "", Members!M20)</f>
        <v>0</v>
      </c>
      <c r="N14" s="2">
        <f>IF(N13="", "", Members!N20)</f>
        <v>0</v>
      </c>
      <c r="O14" s="2">
        <f>IF(O13="", "", Members!O20)</f>
        <v>0</v>
      </c>
      <c r="P14" s="2">
        <f>IF(P13="", "", Members!P20)</f>
        <v>0</v>
      </c>
      <c r="Q14" s="2">
        <f>IF(Q13="", "", Members!Q20)</f>
        <v>0</v>
      </c>
      <c r="R14" s="2">
        <f>IF(R13="", "", Members!R20)</f>
        <v>0</v>
      </c>
      <c r="S14" s="2">
        <f>IF(S13="", "", Members!S20)</f>
        <v>0</v>
      </c>
      <c r="T14" s="2">
        <f>IF(T13="", "", Members!T20)</f>
        <v>0</v>
      </c>
      <c r="U14" s="2">
        <f>IF(U13="", "", Members!U20)</f>
        <v>0</v>
      </c>
    </row>
    <row r="15" spans="1:21" x14ac:dyDescent="0.3">
      <c r="A15" s="3">
        <v>0.13541666666666699</v>
      </c>
      <c r="B15" s="2">
        <f>IF(B14="", "", Members!B21)</f>
        <v>0</v>
      </c>
      <c r="C15" s="2">
        <f>IF(C14="", "", Members!C21)</f>
        <v>0</v>
      </c>
      <c r="D15" s="2">
        <f>IF(D14="", "", Members!D21)</f>
        <v>0</v>
      </c>
      <c r="E15" s="2">
        <f>IF(E14="", "", Members!E21)</f>
        <v>0</v>
      </c>
      <c r="F15" s="2">
        <f>IF(F14="", "", Members!F21)</f>
        <v>0</v>
      </c>
      <c r="G15" s="2">
        <f>IF(G14="", "", Members!G21)</f>
        <v>0</v>
      </c>
      <c r="H15" s="2">
        <f>IF(H14="", "", Members!H21)</f>
        <v>0</v>
      </c>
      <c r="I15" s="2">
        <f>IF(I14="", "", Members!I21)</f>
        <v>0</v>
      </c>
      <c r="J15" s="2">
        <f>IF(J14="", "", Members!J21)</f>
        <v>0</v>
      </c>
      <c r="K15" s="2">
        <f>IF(K14="", "", Members!K21)</f>
        <v>0</v>
      </c>
      <c r="L15" s="2">
        <f>IF(L14="", "", Members!L21)</f>
        <v>0</v>
      </c>
      <c r="M15" s="2">
        <f>IF(M14="", "", Members!M21)</f>
        <v>0</v>
      </c>
      <c r="N15" s="2">
        <f>IF(N14="", "", Members!N21)</f>
        <v>0</v>
      </c>
      <c r="O15" s="2">
        <f>IF(O14="", "", Members!O21)</f>
        <v>0</v>
      </c>
      <c r="P15" s="2">
        <f>IF(P14="", "", Members!P21)</f>
        <v>0</v>
      </c>
      <c r="Q15" s="2">
        <f>IF(Q14="", "", Members!Q21)</f>
        <v>0</v>
      </c>
      <c r="R15" s="2">
        <f>IF(R14="", "", Members!R21)</f>
        <v>0</v>
      </c>
      <c r="S15" s="2">
        <f>IF(S14="", "", Members!S21)</f>
        <v>0</v>
      </c>
      <c r="T15" s="2">
        <f>IF(T14="", "", Members!T21)</f>
        <v>0</v>
      </c>
      <c r="U15" s="2">
        <f>IF(U14="", "", Members!U21)</f>
        <v>0</v>
      </c>
    </row>
    <row r="16" spans="1:21" x14ac:dyDescent="0.3">
      <c r="A16" s="3">
        <v>0.14583333333333301</v>
      </c>
      <c r="B16" s="2">
        <f>IF(B15="", "", Members!B22)</f>
        <v>0</v>
      </c>
      <c r="C16" s="2">
        <f>IF(C15="", "", Members!C22)</f>
        <v>0</v>
      </c>
      <c r="D16" s="2">
        <f>IF(D15="", "", Members!D22)</f>
        <v>0</v>
      </c>
      <c r="E16" s="2">
        <f>IF(E15="", "", Members!E22)</f>
        <v>0</v>
      </c>
      <c r="F16" s="2">
        <f>IF(F15="", "", Members!F22)</f>
        <v>0</v>
      </c>
      <c r="G16" s="2">
        <f>IF(G15="", "", Members!G22)</f>
        <v>0</v>
      </c>
      <c r="H16" s="2">
        <f>IF(H15="", "", Members!H22)</f>
        <v>0</v>
      </c>
      <c r="I16" s="2">
        <f>IF(I15="", "", Members!I22)</f>
        <v>0</v>
      </c>
      <c r="J16" s="2">
        <f>IF(J15="", "", Members!J22)</f>
        <v>0</v>
      </c>
      <c r="K16" s="2">
        <f>IF(K15="", "", Members!K22)</f>
        <v>0</v>
      </c>
      <c r="L16" s="2">
        <f>IF(L15="", "", Members!L22)</f>
        <v>0</v>
      </c>
      <c r="M16" s="2">
        <f>IF(M15="", "", Members!M22)</f>
        <v>0</v>
      </c>
      <c r="N16" s="2">
        <f>IF(N15="", "", Members!N22)</f>
        <v>0</v>
      </c>
      <c r="O16" s="2">
        <f>IF(O15="", "", Members!O22)</f>
        <v>0</v>
      </c>
      <c r="P16" s="2">
        <f>IF(P15="", "", Members!P22)</f>
        <v>0</v>
      </c>
      <c r="Q16" s="2">
        <f>IF(Q15="", "", Members!Q22)</f>
        <v>0</v>
      </c>
      <c r="R16" s="2">
        <f>IF(R15="", "", Members!R22)</f>
        <v>0</v>
      </c>
      <c r="S16" s="2">
        <f>IF(S15="", "", Members!S22)</f>
        <v>0</v>
      </c>
      <c r="T16" s="2">
        <f>IF(T15="", "", Members!T22)</f>
        <v>0</v>
      </c>
      <c r="U16" s="2">
        <f>IF(U15="", "", Members!U22)</f>
        <v>0</v>
      </c>
    </row>
    <row r="17" spans="1:21" x14ac:dyDescent="0.3">
      <c r="A17" s="3">
        <v>0.15625</v>
      </c>
      <c r="B17" s="2">
        <f>IF(B16="", "", Members!B23)</f>
        <v>0</v>
      </c>
      <c r="C17" s="2">
        <f>IF(C16="", "", Members!C23)</f>
        <v>0</v>
      </c>
      <c r="D17" s="2">
        <f>IF(D16="", "", Members!D23)</f>
        <v>0</v>
      </c>
      <c r="E17" s="2">
        <f>IF(E16="", "", Members!E23)</f>
        <v>0</v>
      </c>
      <c r="F17" s="2">
        <f>IF(F16="", "", Members!F23)</f>
        <v>0</v>
      </c>
      <c r="G17" s="2">
        <f>IF(G16="", "", Members!G23)</f>
        <v>0</v>
      </c>
      <c r="H17" s="2">
        <f>IF(H16="", "", Members!H23)</f>
        <v>0</v>
      </c>
      <c r="I17" s="2">
        <f>IF(I16="", "", Members!I23)</f>
        <v>0</v>
      </c>
      <c r="J17" s="2">
        <f>IF(J16="", "", Members!J23)</f>
        <v>0</v>
      </c>
      <c r="K17" s="2">
        <f>IF(K16="", "", Members!K23)</f>
        <v>0</v>
      </c>
      <c r="L17" s="2">
        <f>IF(L16="", "", Members!L23)</f>
        <v>0</v>
      </c>
      <c r="M17" s="2">
        <f>IF(M16="", "", Members!M23)</f>
        <v>0</v>
      </c>
      <c r="N17" s="2">
        <f>IF(N16="", "", Members!N23)</f>
        <v>0</v>
      </c>
      <c r="O17" s="2">
        <f>IF(O16="", "", Members!O23)</f>
        <v>0</v>
      </c>
      <c r="P17" s="2">
        <f>IF(P16="", "", Members!P23)</f>
        <v>0</v>
      </c>
      <c r="Q17" s="2">
        <f>IF(Q16="", "", Members!Q23)</f>
        <v>0</v>
      </c>
      <c r="R17" s="2">
        <f>IF(R16="", "", Members!R23)</f>
        <v>0</v>
      </c>
      <c r="S17" s="2">
        <f>IF(S16="", "", Members!S23)</f>
        <v>0</v>
      </c>
      <c r="T17" s="2">
        <f>IF(T16="", "", Members!T23)</f>
        <v>0</v>
      </c>
      <c r="U17" s="2">
        <f>IF(U16="", "", Members!U23)</f>
        <v>0</v>
      </c>
    </row>
    <row r="18" spans="1:21" x14ac:dyDescent="0.3">
      <c r="A18" s="3">
        <v>0.16666666666666699</v>
      </c>
      <c r="B18" s="2">
        <f>IF(B17="", "", Members!B24)</f>
        <v>0</v>
      </c>
      <c r="C18" s="2">
        <f>IF(C17="", "", Members!C24)</f>
        <v>0</v>
      </c>
      <c r="D18" s="2">
        <f>IF(D17="", "", Members!D24)</f>
        <v>0</v>
      </c>
      <c r="E18" s="2">
        <f>IF(E17="", "", Members!E24)</f>
        <v>0</v>
      </c>
      <c r="F18" s="2">
        <f>IF(F17="", "", Members!F24)</f>
        <v>0</v>
      </c>
      <c r="G18" s="2">
        <f>IF(G17="", "", Members!G24)</f>
        <v>0</v>
      </c>
      <c r="H18" s="2">
        <f>IF(H17="", "", Members!H24)</f>
        <v>0</v>
      </c>
      <c r="I18" s="2">
        <f>IF(I17="", "", Members!I24)</f>
        <v>0</v>
      </c>
      <c r="J18" s="2">
        <f>IF(J17="", "", Members!J24)</f>
        <v>0</v>
      </c>
      <c r="K18" s="2">
        <f>IF(K17="", "", Members!K24)</f>
        <v>0</v>
      </c>
      <c r="L18" s="2">
        <f>IF(L17="", "", Members!L24)</f>
        <v>0</v>
      </c>
      <c r="M18" s="2">
        <f>IF(M17="", "", Members!M24)</f>
        <v>0</v>
      </c>
      <c r="N18" s="2">
        <f>IF(N17="", "", Members!N24)</f>
        <v>0</v>
      </c>
      <c r="O18" s="2">
        <f>IF(O17="", "", Members!O24)</f>
        <v>0</v>
      </c>
      <c r="P18" s="2">
        <f>IF(P17="", "", Members!P24)</f>
        <v>0</v>
      </c>
      <c r="Q18" s="2">
        <f>IF(Q17="", "", Members!Q24)</f>
        <v>0</v>
      </c>
      <c r="R18" s="2">
        <f>IF(R17="", "", Members!R24)</f>
        <v>0</v>
      </c>
      <c r="S18" s="2">
        <f>IF(S17="", "", Members!S24)</f>
        <v>0</v>
      </c>
      <c r="T18" s="2">
        <f>IF(T17="", "", Members!T24)</f>
        <v>0</v>
      </c>
      <c r="U18" s="2">
        <f>IF(U17="", "", Members!U24)</f>
        <v>0</v>
      </c>
    </row>
    <row r="19" spans="1:21" x14ac:dyDescent="0.3">
      <c r="A19" s="3">
        <v>0.17708333333333301</v>
      </c>
      <c r="B19" s="2">
        <f>IF(B18="", "", Members!B25)</f>
        <v>0</v>
      </c>
      <c r="C19" s="2">
        <f>IF(C18="", "", Members!C25)</f>
        <v>0</v>
      </c>
      <c r="D19" s="2">
        <f>IF(D18="", "", Members!D25)</f>
        <v>0</v>
      </c>
      <c r="E19" s="2">
        <f>IF(E18="", "", Members!E25)</f>
        <v>0</v>
      </c>
      <c r="F19" s="2">
        <f>IF(F18="", "", Members!F25)</f>
        <v>0</v>
      </c>
      <c r="G19" s="2">
        <f>IF(G18="", "", Members!G25)</f>
        <v>0</v>
      </c>
      <c r="H19" s="2">
        <f>IF(H18="", "", Members!H25)</f>
        <v>0</v>
      </c>
      <c r="I19" s="2">
        <f>IF(I18="", "", Members!I25)</f>
        <v>0</v>
      </c>
      <c r="J19" s="2">
        <f>IF(J18="", "", Members!J25)</f>
        <v>0</v>
      </c>
      <c r="K19" s="2">
        <f>IF(K18="", "", Members!K25)</f>
        <v>0</v>
      </c>
      <c r="L19" s="2">
        <f>IF(L18="", "", Members!L25)</f>
        <v>0</v>
      </c>
      <c r="M19" s="2">
        <f>IF(M18="", "", Members!M25)</f>
        <v>0</v>
      </c>
      <c r="N19" s="2">
        <f>IF(N18="", "", Members!N25)</f>
        <v>0</v>
      </c>
      <c r="O19" s="2">
        <f>IF(O18="", "", Members!O25)</f>
        <v>0</v>
      </c>
      <c r="P19" s="2">
        <f>IF(P18="", "", Members!P25)</f>
        <v>0</v>
      </c>
      <c r="Q19" s="2">
        <f>IF(Q18="", "", Members!Q25)</f>
        <v>0</v>
      </c>
      <c r="R19" s="2">
        <f>IF(R18="", "", Members!R25)</f>
        <v>0</v>
      </c>
      <c r="S19" s="2">
        <f>IF(S18="", "", Members!S25)</f>
        <v>0</v>
      </c>
      <c r="T19" s="2">
        <f>IF(T18="", "", Members!T25)</f>
        <v>0</v>
      </c>
      <c r="U19" s="2">
        <f>IF(U18="", "", Members!U25)</f>
        <v>0</v>
      </c>
    </row>
    <row r="20" spans="1:21" x14ac:dyDescent="0.3">
      <c r="A20" s="3">
        <v>0.1875</v>
      </c>
      <c r="B20" s="2">
        <f>IF(B19="", "", Members!B26)</f>
        <v>0</v>
      </c>
      <c r="C20" s="2">
        <f>IF(C19="", "", Members!C26)</f>
        <v>0</v>
      </c>
      <c r="D20" s="2">
        <f>IF(D19="", "", Members!D26)</f>
        <v>0</v>
      </c>
      <c r="E20" s="2">
        <f>IF(E19="", "", Members!E26)</f>
        <v>0</v>
      </c>
      <c r="F20" s="2">
        <f>IF(F19="", "", Members!F26)</f>
        <v>0</v>
      </c>
      <c r="G20" s="2">
        <f>IF(G19="", "", Members!G26)</f>
        <v>0</v>
      </c>
      <c r="H20" s="2">
        <f>IF(H19="", "", Members!H26)</f>
        <v>0</v>
      </c>
      <c r="I20" s="2">
        <f>IF(I19="", "", Members!I26)</f>
        <v>0</v>
      </c>
      <c r="J20" s="2">
        <f>IF(J19="", "", Members!J26)</f>
        <v>0</v>
      </c>
      <c r="K20" s="2">
        <f>IF(K19="", "", Members!K26)</f>
        <v>0</v>
      </c>
      <c r="L20" s="2">
        <f>IF(L19="", "", Members!L26)</f>
        <v>0</v>
      </c>
      <c r="M20" s="2">
        <f>IF(M19="", "", Members!M26)</f>
        <v>0</v>
      </c>
      <c r="N20" s="2">
        <f>IF(N19="", "", Members!N26)</f>
        <v>0</v>
      </c>
      <c r="O20" s="2">
        <f>IF(O19="", "", Members!O26)</f>
        <v>0</v>
      </c>
      <c r="P20" s="2">
        <f>IF(P19="", "", Members!P26)</f>
        <v>0</v>
      </c>
      <c r="Q20" s="2">
        <f>IF(Q19="", "", Members!Q26)</f>
        <v>0</v>
      </c>
      <c r="R20" s="2">
        <f>IF(R19="", "", Members!R26)</f>
        <v>0</v>
      </c>
      <c r="S20" s="2">
        <f>IF(S19="", "", Members!S26)</f>
        <v>0</v>
      </c>
      <c r="T20" s="2">
        <f>IF(T19="", "", Members!T26)</f>
        <v>0</v>
      </c>
      <c r="U20" s="2">
        <f>IF(U19="", "", Members!U26)</f>
        <v>0</v>
      </c>
    </row>
    <row r="21" spans="1:21" x14ac:dyDescent="0.3">
      <c r="A21" s="3">
        <v>0.19791666666666699</v>
      </c>
      <c r="B21" s="2">
        <f>IF(B20="", "", Members!B27)</f>
        <v>0</v>
      </c>
      <c r="C21" s="2">
        <f>IF(C20="", "", Members!C27)</f>
        <v>0</v>
      </c>
      <c r="D21" s="2">
        <f>IF(D20="", "", Members!D27)</f>
        <v>0</v>
      </c>
      <c r="E21" s="2">
        <f>IF(E20="", "", Members!E27)</f>
        <v>0</v>
      </c>
      <c r="F21" s="2">
        <f>IF(F20="", "", Members!F27)</f>
        <v>0</v>
      </c>
      <c r="G21" s="2">
        <f>IF(G20="", "", Members!G27)</f>
        <v>0</v>
      </c>
      <c r="H21" s="2">
        <f>IF(H20="", "", Members!H27)</f>
        <v>0</v>
      </c>
      <c r="I21" s="2">
        <f>IF(I20="", "", Members!I27)</f>
        <v>0</v>
      </c>
      <c r="J21" s="2">
        <f>IF(J20="", "", Members!J27)</f>
        <v>0</v>
      </c>
      <c r="K21" s="2">
        <f>IF(K20="", "", Members!K27)</f>
        <v>0</v>
      </c>
      <c r="L21" s="2">
        <f>IF(L20="", "", Members!L27)</f>
        <v>0</v>
      </c>
      <c r="M21" s="2">
        <f>IF(M20="", "", Members!M27)</f>
        <v>0</v>
      </c>
      <c r="N21" s="2">
        <f>IF(N20="", "", Members!N27)</f>
        <v>0</v>
      </c>
      <c r="O21" s="2">
        <f>IF(O20="", "", Members!O27)</f>
        <v>0</v>
      </c>
      <c r="P21" s="2">
        <f>IF(P20="", "", Members!P27)</f>
        <v>0</v>
      </c>
      <c r="Q21" s="2">
        <f>IF(Q20="", "", Members!Q27)</f>
        <v>0</v>
      </c>
      <c r="R21" s="2">
        <f>IF(R20="", "", Members!R27)</f>
        <v>0</v>
      </c>
      <c r="S21" s="2">
        <f>IF(S20="", "", Members!S27)</f>
        <v>0</v>
      </c>
      <c r="T21" s="2">
        <f>IF(T20="", "", Members!T27)</f>
        <v>0</v>
      </c>
      <c r="U21" s="2">
        <f>IF(U20="", "", Members!U27)</f>
        <v>0</v>
      </c>
    </row>
    <row r="22" spans="1:21" x14ac:dyDescent="0.3">
      <c r="A22" s="3">
        <v>0.20833333333333301</v>
      </c>
      <c r="B22" s="2">
        <f>IF(B21="", "", Members!B28)</f>
        <v>0</v>
      </c>
      <c r="C22" s="2">
        <f>IF(C21="", "", Members!C28)</f>
        <v>0</v>
      </c>
      <c r="D22" s="2">
        <f>IF(D21="", "", Members!D28)</f>
        <v>0</v>
      </c>
      <c r="E22" s="2">
        <f>IF(E21="", "", Members!E28)</f>
        <v>0</v>
      </c>
      <c r="F22" s="2">
        <f>IF(F21="", "", Members!F28)</f>
        <v>0</v>
      </c>
      <c r="G22" s="2">
        <f>IF(G21="", "", Members!G28)</f>
        <v>0</v>
      </c>
      <c r="H22" s="2">
        <f>IF(H21="", "", Members!H28)</f>
        <v>0</v>
      </c>
      <c r="I22" s="2">
        <f>IF(I21="", "", Members!I28)</f>
        <v>0</v>
      </c>
      <c r="J22" s="2">
        <f>IF(J21="", "", Members!J28)</f>
        <v>0</v>
      </c>
      <c r="K22" s="2">
        <f>IF(K21="", "", Members!K28)</f>
        <v>0</v>
      </c>
      <c r="L22" s="2">
        <f>IF(L21="", "", Members!L28)</f>
        <v>0</v>
      </c>
      <c r="M22" s="2">
        <f>IF(M21="", "", Members!M28)</f>
        <v>0</v>
      </c>
      <c r="N22" s="2">
        <f>IF(N21="", "", Members!N28)</f>
        <v>0</v>
      </c>
      <c r="O22" s="2">
        <f>IF(O21="", "", Members!O28)</f>
        <v>0</v>
      </c>
      <c r="P22" s="2">
        <f>IF(P21="", "", Members!P28)</f>
        <v>0</v>
      </c>
      <c r="Q22" s="2">
        <f>IF(Q21="", "", Members!Q28)</f>
        <v>0</v>
      </c>
      <c r="R22" s="2">
        <f>IF(R21="", "", Members!R28)</f>
        <v>0</v>
      </c>
      <c r="S22" s="2">
        <f>IF(S21="", "", Members!S28)</f>
        <v>0</v>
      </c>
      <c r="T22" s="2">
        <f>IF(T21="", "", Members!T28)</f>
        <v>0</v>
      </c>
      <c r="U22" s="2">
        <f>IF(U21="", "", Members!U28)</f>
        <v>0</v>
      </c>
    </row>
    <row r="23" spans="1:21" x14ac:dyDescent="0.3">
      <c r="A23" s="3">
        <v>0.21875</v>
      </c>
      <c r="B23" s="2">
        <f>IF(B22="", "", Members!B29)</f>
        <v>0</v>
      </c>
      <c r="C23" s="2">
        <f>IF(C22="", "", Members!C29)</f>
        <v>0</v>
      </c>
      <c r="D23" s="2">
        <f>IF(D22="", "", Members!D29)</f>
        <v>0</v>
      </c>
      <c r="E23" s="2">
        <f>IF(E22="", "", Members!E29)</f>
        <v>0</v>
      </c>
      <c r="F23" s="2">
        <f>IF(F22="", "", Members!F29)</f>
        <v>0</v>
      </c>
      <c r="G23" s="2">
        <f>IF(G22="", "", Members!G29)</f>
        <v>0</v>
      </c>
      <c r="H23" s="2">
        <f>IF(H22="", "", Members!H29)</f>
        <v>0</v>
      </c>
      <c r="I23" s="2">
        <f>IF(I22="", "", Members!I29)</f>
        <v>0</v>
      </c>
      <c r="J23" s="2">
        <f>IF(J22="", "", Members!J29)</f>
        <v>0</v>
      </c>
      <c r="K23" s="2">
        <f>IF(K22="", "", Members!K29)</f>
        <v>0</v>
      </c>
      <c r="L23" s="2">
        <f>IF(L22="", "", Members!L29)</f>
        <v>0</v>
      </c>
      <c r="M23" s="2">
        <f>IF(M22="", "", Members!M29)</f>
        <v>0</v>
      </c>
      <c r="N23" s="2">
        <f>IF(N22="", "", Members!N29)</f>
        <v>0</v>
      </c>
      <c r="O23" s="2">
        <f>IF(O22="", "", Members!O29)</f>
        <v>0</v>
      </c>
      <c r="P23" s="2">
        <f>IF(P22="", "", Members!P29)</f>
        <v>0</v>
      </c>
      <c r="Q23" s="2">
        <f>IF(Q22="", "", Members!Q29)</f>
        <v>0</v>
      </c>
      <c r="R23" s="2">
        <f>IF(R22="", "", Members!R29)</f>
        <v>0</v>
      </c>
      <c r="S23" s="2">
        <f>IF(S22="", "", Members!S29)</f>
        <v>0</v>
      </c>
      <c r="T23" s="2">
        <f>IF(T22="", "", Members!T29)</f>
        <v>0</v>
      </c>
      <c r="U23" s="2">
        <f>IF(U22="", "", Members!U29)</f>
        <v>0</v>
      </c>
    </row>
    <row r="24" spans="1:21" x14ac:dyDescent="0.3">
      <c r="A24" s="3">
        <v>0.22916666666666699</v>
      </c>
      <c r="B24" s="2">
        <f>IF(B23="", "", Members!B30)</f>
        <v>0</v>
      </c>
      <c r="C24" s="2">
        <f>IF(C23="", "", Members!C30)</f>
        <v>0</v>
      </c>
      <c r="D24" s="2">
        <f>IF(D23="", "", Members!D30)</f>
        <v>0</v>
      </c>
      <c r="E24" s="2">
        <f>IF(E23="", "", Members!E30)</f>
        <v>0</v>
      </c>
      <c r="F24" s="2">
        <f>IF(F23="", "", Members!F30)</f>
        <v>0</v>
      </c>
      <c r="G24" s="2">
        <f>IF(G23="", "", Members!G30)</f>
        <v>0</v>
      </c>
      <c r="H24" s="2">
        <f>IF(H23="", "", Members!H30)</f>
        <v>0</v>
      </c>
      <c r="I24" s="2">
        <f>IF(I23="", "", Members!I30)</f>
        <v>0</v>
      </c>
      <c r="J24" s="2">
        <f>IF(J23="", "", Members!J30)</f>
        <v>0</v>
      </c>
      <c r="K24" s="2">
        <f>IF(K23="", "", Members!K30)</f>
        <v>0</v>
      </c>
      <c r="L24" s="2">
        <f>IF(L23="", "", Members!L30)</f>
        <v>0</v>
      </c>
      <c r="M24" s="2">
        <f>IF(M23="", "", Members!M30)</f>
        <v>0</v>
      </c>
      <c r="N24" s="2">
        <f>IF(N23="", "", Members!N30)</f>
        <v>0</v>
      </c>
      <c r="O24" s="2">
        <f>IF(O23="", "", Members!O30)</f>
        <v>0</v>
      </c>
      <c r="P24" s="2">
        <f>IF(P23="", "", Members!P30)</f>
        <v>0</v>
      </c>
      <c r="Q24" s="2">
        <f>IF(Q23="", "", Members!Q30)</f>
        <v>0</v>
      </c>
      <c r="R24" s="2">
        <f>IF(R23="", "", Members!R30)</f>
        <v>0</v>
      </c>
      <c r="S24" s="2">
        <f>IF(S23="", "", Members!S30)</f>
        <v>0</v>
      </c>
      <c r="T24" s="2">
        <f>IF(T23="", "", Members!T30)</f>
        <v>0</v>
      </c>
      <c r="U24" s="2">
        <f>IF(U23="", "", Members!U30)</f>
        <v>0</v>
      </c>
    </row>
    <row r="25" spans="1:21" x14ac:dyDescent="0.3">
      <c r="A25" s="3">
        <v>0.23958333333333301</v>
      </c>
      <c r="B25" s="2">
        <f>IF(B24="", "", Members!B31)</f>
        <v>0</v>
      </c>
      <c r="C25" s="2">
        <f>IF(C24="", "", Members!C31)</f>
        <v>0</v>
      </c>
      <c r="D25" s="2">
        <f>IF(D24="", "", Members!D31)</f>
        <v>0</v>
      </c>
      <c r="E25" s="2">
        <f>IF(E24="", "", Members!E31)</f>
        <v>0</v>
      </c>
      <c r="F25" s="2">
        <f>IF(F24="", "", Members!F31)</f>
        <v>0</v>
      </c>
      <c r="G25" s="2">
        <f>IF(G24="", "", Members!G31)</f>
        <v>0</v>
      </c>
      <c r="H25" s="2">
        <f>IF(H24="", "", Members!H31)</f>
        <v>0</v>
      </c>
      <c r="I25" s="2">
        <f>IF(I24="", "", Members!I31)</f>
        <v>0</v>
      </c>
      <c r="J25" s="2">
        <f>IF(J24="", "", Members!J31)</f>
        <v>0</v>
      </c>
      <c r="K25" s="2">
        <f>IF(K24="", "", Members!K31)</f>
        <v>0</v>
      </c>
      <c r="L25" s="2">
        <f>IF(L24="", "", Members!L31)</f>
        <v>0</v>
      </c>
      <c r="M25" s="2">
        <f>IF(M24="", "", Members!M31)</f>
        <v>0</v>
      </c>
      <c r="N25" s="2">
        <f>IF(N24="", "", Members!N31)</f>
        <v>0</v>
      </c>
      <c r="O25" s="2">
        <f>IF(O24="", "", Members!O31)</f>
        <v>0</v>
      </c>
      <c r="P25" s="2">
        <f>IF(P24="", "", Members!P31)</f>
        <v>0</v>
      </c>
      <c r="Q25" s="2">
        <f>IF(Q24="", "", Members!Q31)</f>
        <v>0</v>
      </c>
      <c r="R25" s="2">
        <f>IF(R24="", "", Members!R31)</f>
        <v>0</v>
      </c>
      <c r="S25" s="2">
        <f>IF(S24="", "", Members!S31)</f>
        <v>0</v>
      </c>
      <c r="T25" s="2">
        <f>IF(T24="", "", Members!T31)</f>
        <v>0</v>
      </c>
      <c r="U25" s="2">
        <f>IF(U24="", "", Members!U31)</f>
        <v>0</v>
      </c>
    </row>
    <row r="26" spans="1:21" x14ac:dyDescent="0.3">
      <c r="A26" s="3">
        <v>0.25</v>
      </c>
      <c r="B26" s="2">
        <f>IF(B25="", "", Members!B32)</f>
        <v>0</v>
      </c>
      <c r="C26" s="2">
        <f>IF(C25="", "", Members!C32)</f>
        <v>0</v>
      </c>
      <c r="D26" s="2">
        <f>IF(D25="", "", Members!D32)</f>
        <v>0</v>
      </c>
      <c r="E26" s="2">
        <f>IF(E25="", "", Members!E32)</f>
        <v>0</v>
      </c>
      <c r="F26" s="2">
        <f>IF(F25="", "", Members!F32)</f>
        <v>0</v>
      </c>
      <c r="G26" s="2">
        <f>IF(G25="", "", Members!G32)</f>
        <v>0</v>
      </c>
      <c r="H26" s="2">
        <f>IF(H25="", "", Members!H32)</f>
        <v>0</v>
      </c>
      <c r="I26" s="2">
        <f>IF(I25="", "", Members!I32)</f>
        <v>0</v>
      </c>
      <c r="J26" s="2">
        <f>IF(J25="", "", Members!J32)</f>
        <v>0</v>
      </c>
      <c r="K26" s="2">
        <f>IF(K25="", "", Members!K32)</f>
        <v>0</v>
      </c>
      <c r="L26" s="2">
        <f>IF(L25="", "", Members!L32)</f>
        <v>0</v>
      </c>
      <c r="M26" s="2">
        <f>IF(M25="", "", Members!M32)</f>
        <v>0</v>
      </c>
      <c r="N26" s="2">
        <f>IF(N25="", "", Members!N32)</f>
        <v>0</v>
      </c>
      <c r="O26" s="2">
        <f>IF(O25="", "", Members!O32)</f>
        <v>0</v>
      </c>
      <c r="P26" s="2">
        <f>IF(P25="", "", Members!P32)</f>
        <v>0</v>
      </c>
      <c r="Q26" s="2">
        <f>IF(Q25="", "", Members!Q32)</f>
        <v>0</v>
      </c>
      <c r="R26" s="2">
        <f>IF(R25="", "", Members!R32)</f>
        <v>0</v>
      </c>
      <c r="S26" s="2">
        <f>IF(S25="", "", Members!S32)</f>
        <v>0</v>
      </c>
      <c r="T26" s="2">
        <f>IF(T25="", "", Members!T32)</f>
        <v>0</v>
      </c>
      <c r="U26" s="2">
        <f>IF(U25="", "", Members!U32)</f>
        <v>0</v>
      </c>
    </row>
    <row r="27" spans="1:21" x14ac:dyDescent="0.3">
      <c r="A27" s="3">
        <v>0.26041666666666702</v>
      </c>
      <c r="B27" s="2">
        <f>IF(B26="", "", Members!B33)</f>
        <v>0</v>
      </c>
      <c r="C27" s="2">
        <f>IF(C26="", "", Members!C33)</f>
        <v>0</v>
      </c>
      <c r="D27" s="2">
        <f>IF(D26="", "", Members!D33)</f>
        <v>0</v>
      </c>
      <c r="E27" s="2">
        <f>IF(E26="", "", Members!E33)</f>
        <v>0</v>
      </c>
      <c r="F27" s="2">
        <f>IF(F26="", "", Members!F33)</f>
        <v>0</v>
      </c>
      <c r="G27" s="2">
        <f>IF(G26="", "", Members!G33)</f>
        <v>0</v>
      </c>
      <c r="H27" s="2">
        <f>IF(H26="", "", Members!H33)</f>
        <v>0</v>
      </c>
      <c r="I27" s="2">
        <f>IF(I26="", "", Members!I33)</f>
        <v>0</v>
      </c>
      <c r="J27" s="2">
        <f>IF(J26="", "", Members!J33)</f>
        <v>0</v>
      </c>
      <c r="K27" s="2">
        <f>IF(K26="", "", Members!K33)</f>
        <v>0</v>
      </c>
      <c r="L27" s="2">
        <f>IF(L26="", "", Members!L33)</f>
        <v>0</v>
      </c>
      <c r="M27" s="2">
        <f>IF(M26="", "", Members!M33)</f>
        <v>0</v>
      </c>
      <c r="N27" s="2">
        <f>IF(N26="", "", Members!N33)</f>
        <v>0</v>
      </c>
      <c r="O27" s="2">
        <f>IF(O26="", "", Members!O33)</f>
        <v>0</v>
      </c>
      <c r="P27" s="2">
        <f>IF(P26="", "", Members!P33)</f>
        <v>0</v>
      </c>
      <c r="Q27" s="2">
        <f>IF(Q26="", "", Members!Q33)</f>
        <v>0</v>
      </c>
      <c r="R27" s="2">
        <f>IF(R26="", "", Members!R33)</f>
        <v>0</v>
      </c>
      <c r="S27" s="2">
        <f>IF(S26="", "", Members!S33)</f>
        <v>0</v>
      </c>
      <c r="T27" s="2">
        <f>IF(T26="", "", Members!T33)</f>
        <v>0</v>
      </c>
      <c r="U27" s="2">
        <f>IF(U26="", "", Members!U33)</f>
        <v>0</v>
      </c>
    </row>
    <row r="28" spans="1:21" x14ac:dyDescent="0.3">
      <c r="A28" s="3">
        <v>0.27083333333333298</v>
      </c>
      <c r="B28" s="2">
        <f>IF(B27="", "", Members!B34)</f>
        <v>0</v>
      </c>
      <c r="C28" s="2">
        <f>IF(C27="", "", Members!C34)</f>
        <v>0</v>
      </c>
      <c r="D28" s="2">
        <f>IF(D27="", "", Members!D34)</f>
        <v>0</v>
      </c>
      <c r="E28" s="2">
        <f>IF(E27="", "", Members!E34)</f>
        <v>0</v>
      </c>
      <c r="F28" s="2">
        <f>IF(F27="", "", Members!F34)</f>
        <v>0</v>
      </c>
      <c r="G28" s="2">
        <f>IF(G27="", "", Members!G34)</f>
        <v>0</v>
      </c>
      <c r="H28" s="2">
        <f>IF(H27="", "", Members!H34)</f>
        <v>0</v>
      </c>
      <c r="I28" s="2">
        <f>IF(I27="", "", Members!I34)</f>
        <v>0</v>
      </c>
      <c r="J28" s="2">
        <f>IF(J27="", "", Members!J34)</f>
        <v>0</v>
      </c>
      <c r="K28" s="2">
        <f>IF(K27="", "", Members!K34)</f>
        <v>0</v>
      </c>
      <c r="L28" s="2">
        <f>IF(L27="", "", Members!L34)</f>
        <v>0</v>
      </c>
      <c r="M28" s="2">
        <f>IF(M27="", "", Members!M34)</f>
        <v>0</v>
      </c>
      <c r="N28" s="2">
        <f>IF(N27="", "", Members!N34)</f>
        <v>0</v>
      </c>
      <c r="O28" s="2">
        <f>IF(O27="", "", Members!O34)</f>
        <v>0</v>
      </c>
      <c r="P28" s="2">
        <f>IF(P27="", "", Members!P34)</f>
        <v>0</v>
      </c>
      <c r="Q28" s="2">
        <f>IF(Q27="", "", Members!Q34)</f>
        <v>0</v>
      </c>
      <c r="R28" s="2">
        <f>IF(R27="", "", Members!R34)</f>
        <v>0</v>
      </c>
      <c r="S28" s="2">
        <f>IF(S27="", "", Members!S34)</f>
        <v>0</v>
      </c>
      <c r="T28" s="2">
        <f>IF(T27="", "", Members!T34)</f>
        <v>0</v>
      </c>
      <c r="U28" s="2">
        <f>IF(U27="", "", Members!U34)</f>
        <v>0</v>
      </c>
    </row>
    <row r="29" spans="1:21" x14ac:dyDescent="0.3">
      <c r="A29" s="3">
        <v>0.28125</v>
      </c>
      <c r="B29" s="2">
        <f>IF(B28="", "", Members!B35)</f>
        <v>0</v>
      </c>
      <c r="C29" s="2">
        <f>IF(C28="", "", Members!C35)</f>
        <v>0</v>
      </c>
      <c r="D29" s="2">
        <f>IF(D28="", "", Members!D35)</f>
        <v>0</v>
      </c>
      <c r="E29" s="2">
        <f>IF(E28="", "", Members!E35)</f>
        <v>0</v>
      </c>
      <c r="F29" s="2">
        <f>IF(F28="", "", Members!F35)</f>
        <v>0</v>
      </c>
      <c r="G29" s="2">
        <f>IF(G28="", "", Members!G35)</f>
        <v>0</v>
      </c>
      <c r="H29" s="2">
        <f>IF(H28="", "", Members!H35)</f>
        <v>0</v>
      </c>
      <c r="I29" s="2">
        <f>IF(I28="", "", Members!I35)</f>
        <v>0</v>
      </c>
      <c r="J29" s="2">
        <f>IF(J28="", "", Members!J35)</f>
        <v>0</v>
      </c>
      <c r="K29" s="2">
        <f>IF(K28="", "", Members!K35)</f>
        <v>0</v>
      </c>
      <c r="L29" s="2">
        <f>IF(L28="", "", Members!L35)</f>
        <v>0</v>
      </c>
      <c r="M29" s="2">
        <f>IF(M28="", "", Members!M35)</f>
        <v>0</v>
      </c>
      <c r="N29" s="2">
        <f>IF(N28="", "", Members!N35)</f>
        <v>0</v>
      </c>
      <c r="O29" s="2">
        <f>IF(O28="", "", Members!O35)</f>
        <v>0</v>
      </c>
      <c r="P29" s="2">
        <f>IF(P28="", "", Members!P35)</f>
        <v>0</v>
      </c>
      <c r="Q29" s="2">
        <f>IF(Q28="", "", Members!Q35)</f>
        <v>0</v>
      </c>
      <c r="R29" s="2">
        <f>IF(R28="", "", Members!R35)</f>
        <v>0</v>
      </c>
      <c r="S29" s="2">
        <f>IF(S28="", "", Members!S35)</f>
        <v>0</v>
      </c>
      <c r="T29" s="2">
        <f>IF(T28="", "", Members!T35)</f>
        <v>0</v>
      </c>
      <c r="U29" s="2">
        <f>IF(U28="", "", Members!U35)</f>
        <v>0</v>
      </c>
    </row>
    <row r="30" spans="1:21" x14ac:dyDescent="0.3">
      <c r="A30" s="3">
        <v>0.29166666666666702</v>
      </c>
      <c r="B30" s="2">
        <f>IF(B29="", "", Members!B36)</f>
        <v>0</v>
      </c>
      <c r="C30" s="2">
        <f>IF(C29="", "", Members!C36)</f>
        <v>0</v>
      </c>
      <c r="D30" s="2">
        <f>IF(D29="", "", Members!D36)</f>
        <v>0</v>
      </c>
      <c r="E30" s="2">
        <f>IF(E29="", "", Members!E36)</f>
        <v>0</v>
      </c>
      <c r="F30" s="2">
        <f>IF(F29="", "", Members!F36)</f>
        <v>0</v>
      </c>
      <c r="G30" s="2">
        <f>IF(G29="", "", Members!G36)</f>
        <v>0</v>
      </c>
      <c r="H30" s="2">
        <f>IF(H29="", "", Members!H36)</f>
        <v>0</v>
      </c>
      <c r="I30" s="2">
        <f>IF(I29="", "", Members!I36)</f>
        <v>0</v>
      </c>
      <c r="J30" s="2">
        <f>IF(J29="", "", Members!J36)</f>
        <v>0</v>
      </c>
      <c r="K30" s="2">
        <f>IF(K29="", "", Members!K36)</f>
        <v>0</v>
      </c>
      <c r="L30" s="2">
        <f>IF(L29="", "", Members!L36)</f>
        <v>0</v>
      </c>
      <c r="M30" s="2">
        <f>IF(M29="", "", Members!M36)</f>
        <v>0</v>
      </c>
      <c r="N30" s="2">
        <f>IF(N29="", "", Members!N36)</f>
        <v>0</v>
      </c>
      <c r="O30" s="2">
        <f>IF(O29="", "", Members!O36)</f>
        <v>0</v>
      </c>
      <c r="P30" s="2">
        <f>IF(P29="", "", Members!P36)</f>
        <v>0</v>
      </c>
      <c r="Q30" s="2">
        <f>IF(Q29="", "", Members!Q36)</f>
        <v>0</v>
      </c>
      <c r="R30" s="2">
        <f>IF(R29="", "", Members!R36)</f>
        <v>0</v>
      </c>
      <c r="S30" s="2">
        <f>IF(S29="", "", Members!S36)</f>
        <v>0</v>
      </c>
      <c r="T30" s="2">
        <f>IF(T29="", "", Members!T36)</f>
        <v>0</v>
      </c>
      <c r="U30" s="2">
        <f>IF(U29="", "", Members!U36)</f>
        <v>0</v>
      </c>
    </row>
    <row r="31" spans="1:21" x14ac:dyDescent="0.3">
      <c r="A31" s="3">
        <v>0.30208333333333298</v>
      </c>
      <c r="B31" s="2">
        <f>IF(B30="", "", Members!B37)</f>
        <v>0</v>
      </c>
      <c r="C31" s="2">
        <f>IF(C30="", "", Members!C37)</f>
        <v>0</v>
      </c>
      <c r="D31" s="2">
        <f>IF(D30="", "", Members!D37)</f>
        <v>0</v>
      </c>
      <c r="E31" s="2">
        <f>IF(E30="", "", Members!E37)</f>
        <v>0</v>
      </c>
      <c r="F31" s="2">
        <f>IF(F30="", "", Members!F37)</f>
        <v>0</v>
      </c>
      <c r="G31" s="2">
        <f>IF(G30="", "", Members!G37)</f>
        <v>0</v>
      </c>
      <c r="H31" s="2">
        <f>IF(H30="", "", Members!H37)</f>
        <v>0</v>
      </c>
      <c r="I31" s="2">
        <f>IF(I30="", "", Members!I37)</f>
        <v>0</v>
      </c>
      <c r="J31" s="2">
        <f>IF(J30="", "", Members!J37)</f>
        <v>0</v>
      </c>
      <c r="K31" s="2">
        <f>IF(K30="", "", Members!K37)</f>
        <v>0</v>
      </c>
      <c r="L31" s="2">
        <f>IF(L30="", "", Members!L37)</f>
        <v>0</v>
      </c>
      <c r="M31" s="2">
        <f>IF(M30="", "", Members!M37)</f>
        <v>0</v>
      </c>
      <c r="N31" s="2">
        <f>IF(N30="", "", Members!N37)</f>
        <v>0</v>
      </c>
      <c r="O31" s="2">
        <f>IF(O30="", "", Members!O37)</f>
        <v>0</v>
      </c>
      <c r="P31" s="2">
        <f>IF(P30="", "", Members!P37)</f>
        <v>0</v>
      </c>
      <c r="Q31" s="2">
        <f>IF(Q30="", "", Members!Q37)</f>
        <v>0</v>
      </c>
      <c r="R31" s="2">
        <f>IF(R30="", "", Members!R37)</f>
        <v>0</v>
      </c>
      <c r="S31" s="2">
        <f>IF(S30="", "", Members!S37)</f>
        <v>0</v>
      </c>
      <c r="T31" s="2">
        <f>IF(T30="", "", Members!T37)</f>
        <v>0</v>
      </c>
      <c r="U31" s="2">
        <f>IF(U30="", "", Members!U37)</f>
        <v>0</v>
      </c>
    </row>
    <row r="32" spans="1:21" x14ac:dyDescent="0.3">
      <c r="A32" s="3">
        <v>0.3125</v>
      </c>
      <c r="B32" s="2">
        <f>IF(B31="", "", Members!B38)</f>
        <v>0</v>
      </c>
      <c r="C32" s="2">
        <f>IF(C31="", "", Members!C38)</f>
        <v>0</v>
      </c>
      <c r="D32" s="2">
        <f>IF(D31="", "", Members!D38)</f>
        <v>0</v>
      </c>
      <c r="E32" s="2">
        <f>IF(E31="", "", Members!E38)</f>
        <v>0</v>
      </c>
      <c r="F32" s="2">
        <f>IF(F31="", "", Members!F38)</f>
        <v>0</v>
      </c>
      <c r="G32" s="2">
        <f>IF(G31="", "", Members!G38)</f>
        <v>0</v>
      </c>
      <c r="H32" s="2">
        <f>IF(H31="", "", Members!H38)</f>
        <v>0</v>
      </c>
      <c r="I32" s="2">
        <f>IF(I31="", "", Members!I38)</f>
        <v>0</v>
      </c>
      <c r="J32" s="2">
        <f>IF(J31="", "", Members!J38)</f>
        <v>0</v>
      </c>
      <c r="K32" s="2">
        <f>IF(K31="", "", Members!K38)</f>
        <v>0</v>
      </c>
      <c r="L32" s="2">
        <f>IF(L31="", "", Members!L38)</f>
        <v>0</v>
      </c>
      <c r="M32" s="2">
        <f>IF(M31="", "", Members!M38)</f>
        <v>0</v>
      </c>
      <c r="N32" s="2">
        <f>IF(N31="", "", Members!N38)</f>
        <v>0</v>
      </c>
      <c r="O32" s="2">
        <f>IF(O31="", "", Members!O38)</f>
        <v>0</v>
      </c>
      <c r="P32" s="2">
        <f>IF(P31="", "", Members!P38)</f>
        <v>0</v>
      </c>
      <c r="Q32" s="2">
        <f>IF(Q31="", "", Members!Q38)</f>
        <v>0</v>
      </c>
      <c r="R32" s="2">
        <f>IF(R31="", "", Members!R38)</f>
        <v>0</v>
      </c>
      <c r="S32" s="2">
        <f>IF(S31="", "", Members!S38)</f>
        <v>0</v>
      </c>
      <c r="T32" s="2">
        <f>IF(T31="", "", Members!T38)</f>
        <v>0</v>
      </c>
      <c r="U32" s="2">
        <f>IF(U31="", "", Members!U38)</f>
        <v>0</v>
      </c>
    </row>
    <row r="33" spans="1:21" x14ac:dyDescent="0.3">
      <c r="A33" s="3">
        <v>0.32291666666666702</v>
      </c>
      <c r="B33" s="2">
        <f>IF(B32="", "", Members!B39)</f>
        <v>0</v>
      </c>
      <c r="C33" s="2">
        <f>IF(C32="", "", Members!C39)</f>
        <v>0</v>
      </c>
      <c r="D33" s="2">
        <f>IF(D32="", "", Members!D39)</f>
        <v>0</v>
      </c>
      <c r="E33" s="2">
        <f>IF(E32="", "", Members!E39)</f>
        <v>0</v>
      </c>
      <c r="F33" s="2">
        <f>IF(F32="", "", Members!F39)</f>
        <v>0</v>
      </c>
      <c r="G33" s="2">
        <f>IF(G32="", "", Members!G39)</f>
        <v>0</v>
      </c>
      <c r="H33" s="2">
        <f>IF(H32="", "", Members!H39)</f>
        <v>0</v>
      </c>
      <c r="I33" s="2">
        <f>IF(I32="", "", Members!I39)</f>
        <v>0</v>
      </c>
      <c r="J33" s="2">
        <f>IF(J32="", "", Members!J39)</f>
        <v>0</v>
      </c>
      <c r="K33" s="2">
        <f>IF(K32="", "", Members!K39)</f>
        <v>0</v>
      </c>
      <c r="L33" s="2">
        <f>IF(L32="", "", Members!L39)</f>
        <v>0</v>
      </c>
      <c r="M33" s="2">
        <f>IF(M32="", "", Members!M39)</f>
        <v>0</v>
      </c>
      <c r="N33" s="2">
        <f>IF(N32="", "", Members!N39)</f>
        <v>0</v>
      </c>
      <c r="O33" s="2">
        <f>IF(O32="", "", Members!O39)</f>
        <v>0</v>
      </c>
      <c r="P33" s="2">
        <f>IF(P32="", "", Members!P39)</f>
        <v>0</v>
      </c>
      <c r="Q33" s="2">
        <f>IF(Q32="", "", Members!Q39)</f>
        <v>0</v>
      </c>
      <c r="R33" s="2">
        <f>IF(R32="", "", Members!R39)</f>
        <v>0</v>
      </c>
      <c r="S33" s="2">
        <f>IF(S32="", "", Members!S39)</f>
        <v>0</v>
      </c>
      <c r="T33" s="2">
        <f>IF(T32="", "", Members!T39)</f>
        <v>0</v>
      </c>
      <c r="U33" s="2">
        <f>IF(U32="", "", Members!U39)</f>
        <v>0</v>
      </c>
    </row>
    <row r="34" spans="1:21" x14ac:dyDescent="0.3">
      <c r="A34" s="3">
        <v>0.33333333333333298</v>
      </c>
      <c r="B34" s="2">
        <f>IF(B33="", "", Members!B40)</f>
        <v>0</v>
      </c>
      <c r="C34" s="2">
        <f>IF(C33="", "", Members!C40)</f>
        <v>0</v>
      </c>
      <c r="D34" s="2">
        <f>IF(D33="", "", Members!D40)</f>
        <v>0</v>
      </c>
      <c r="E34" s="2">
        <f>IF(E33="", "", Members!E40)</f>
        <v>0</v>
      </c>
      <c r="F34" s="2">
        <f>IF(F33="", "", Members!F40)</f>
        <v>0</v>
      </c>
      <c r="G34" s="2">
        <f>IF(G33="", "", Members!G40)</f>
        <v>0</v>
      </c>
      <c r="H34" s="2">
        <f>IF(H33="", "", Members!H40)</f>
        <v>0</v>
      </c>
      <c r="I34" s="2">
        <f>IF(I33="", "", Members!I40)</f>
        <v>0</v>
      </c>
      <c r="J34" s="2">
        <f>IF(J33="", "", Members!J40)</f>
        <v>0</v>
      </c>
      <c r="K34" s="2">
        <f>IF(K33="", "", Members!K40)</f>
        <v>0</v>
      </c>
      <c r="L34" s="2">
        <f>IF(L33="", "", Members!L40)</f>
        <v>0</v>
      </c>
      <c r="M34" s="2">
        <f>IF(M33="", "", Members!M40)</f>
        <v>0</v>
      </c>
      <c r="N34" s="2">
        <f>IF(N33="", "", Members!N40)</f>
        <v>0</v>
      </c>
      <c r="O34" s="2">
        <f>IF(O33="", "", Members!O40)</f>
        <v>0</v>
      </c>
      <c r="P34" s="2">
        <f>IF(P33="", "", Members!P40)</f>
        <v>0</v>
      </c>
      <c r="Q34" s="2">
        <f>IF(Q33="", "", Members!Q40)</f>
        <v>0</v>
      </c>
      <c r="R34" s="2">
        <f>IF(R33="", "", Members!R40)</f>
        <v>0</v>
      </c>
      <c r="S34" s="2">
        <f>IF(S33="", "", Members!S40)</f>
        <v>0</v>
      </c>
      <c r="T34" s="2">
        <f>IF(T33="", "", Members!T40)</f>
        <v>0</v>
      </c>
      <c r="U34" s="2">
        <f>IF(U33="", "", Members!U40)</f>
        <v>0</v>
      </c>
    </row>
    <row r="35" spans="1:21" x14ac:dyDescent="0.3">
      <c r="A35" s="3">
        <v>0.34375</v>
      </c>
      <c r="B35" s="2">
        <f>IF(B34="", "", Members!B41)</f>
        <v>0</v>
      </c>
      <c r="C35" s="2">
        <f>IF(C34="", "", Members!C41)</f>
        <v>0</v>
      </c>
      <c r="D35" s="2">
        <f>IF(D34="", "", Members!D41)</f>
        <v>0</v>
      </c>
      <c r="E35" s="2">
        <f>IF(E34="", "", Members!E41)</f>
        <v>0</v>
      </c>
      <c r="F35" s="2">
        <f>IF(F34="", "", Members!F41)</f>
        <v>0</v>
      </c>
      <c r="G35" s="2">
        <f>IF(G34="", "", Members!G41)</f>
        <v>0</v>
      </c>
      <c r="H35" s="2">
        <f>IF(H34="", "", Members!H41)</f>
        <v>0</v>
      </c>
      <c r="I35" s="2">
        <f>IF(I34="", "", Members!I41)</f>
        <v>0</v>
      </c>
      <c r="J35" s="2">
        <f>IF(J34="", "", Members!J41)</f>
        <v>0</v>
      </c>
      <c r="K35" s="2">
        <f>IF(K34="", "", Members!K41)</f>
        <v>0</v>
      </c>
      <c r="L35" s="2">
        <f>IF(L34="", "", Members!L41)</f>
        <v>0</v>
      </c>
      <c r="M35" s="2">
        <f>IF(M34="", "", Members!M41)</f>
        <v>0</v>
      </c>
      <c r="N35" s="2">
        <f>IF(N34="", "", Members!N41)</f>
        <v>0</v>
      </c>
      <c r="O35" s="2">
        <f>IF(O34="", "", Members!O41)</f>
        <v>0</v>
      </c>
      <c r="P35" s="2">
        <f>IF(P34="", "", Members!P41)</f>
        <v>0</v>
      </c>
      <c r="Q35" s="2">
        <f>IF(Q34="", "", Members!Q41)</f>
        <v>0</v>
      </c>
      <c r="R35" s="2">
        <f>IF(R34="", "", Members!R41)</f>
        <v>0</v>
      </c>
      <c r="S35" s="2">
        <f>IF(S34="", "", Members!S41)</f>
        <v>0</v>
      </c>
      <c r="T35" s="2">
        <f>IF(T34="", "", Members!T41)</f>
        <v>0</v>
      </c>
      <c r="U35" s="2">
        <f>IF(U34="", "", Members!U41)</f>
        <v>0</v>
      </c>
    </row>
    <row r="36" spans="1:21" x14ac:dyDescent="0.3">
      <c r="A36" s="3">
        <v>0.35416666666666702</v>
      </c>
      <c r="B36" s="2">
        <f>IF(B35="", "", Members!B42)</f>
        <v>0</v>
      </c>
      <c r="C36" s="2">
        <f>IF(C35="", "", Members!C42)</f>
        <v>0</v>
      </c>
      <c r="D36" s="2">
        <f>IF(D35="", "", Members!D42)</f>
        <v>0</v>
      </c>
      <c r="E36" s="2">
        <f>IF(E35="", "", Members!E42)</f>
        <v>0</v>
      </c>
      <c r="F36" s="2">
        <f>IF(F35="", "", Members!F42)</f>
        <v>0</v>
      </c>
      <c r="G36" s="2">
        <f>IF(G35="", "", Members!G42)</f>
        <v>0</v>
      </c>
      <c r="H36" s="2">
        <f>IF(H35="", "", Members!H42)</f>
        <v>0</v>
      </c>
      <c r="I36" s="2">
        <f>IF(I35="", "", Members!I42)</f>
        <v>0</v>
      </c>
      <c r="J36" s="2">
        <f>IF(J35="", "", Members!J42)</f>
        <v>0</v>
      </c>
      <c r="K36" s="2">
        <f>IF(K35="", "", Members!K42)</f>
        <v>0</v>
      </c>
      <c r="L36" s="2">
        <f>IF(L35="", "", Members!L42)</f>
        <v>0</v>
      </c>
      <c r="M36" s="2">
        <f>IF(M35="", "", Members!M42)</f>
        <v>0</v>
      </c>
      <c r="N36" s="2">
        <f>IF(N35="", "", Members!N42)</f>
        <v>0</v>
      </c>
      <c r="O36" s="2">
        <f>IF(O35="", "", Members!O42)</f>
        <v>0</v>
      </c>
      <c r="P36" s="2">
        <f>IF(P35="", "", Members!P42)</f>
        <v>0</v>
      </c>
      <c r="Q36" s="2">
        <f>IF(Q35="", "", Members!Q42)</f>
        <v>0</v>
      </c>
      <c r="R36" s="2">
        <f>IF(R35="", "", Members!R42)</f>
        <v>0</v>
      </c>
      <c r="S36" s="2">
        <f>IF(S35="", "", Members!S42)</f>
        <v>0</v>
      </c>
      <c r="T36" s="2">
        <f>IF(T35="", "", Members!T42)</f>
        <v>0</v>
      </c>
      <c r="U36" s="2">
        <f>IF(U35="", "", Members!U42)</f>
        <v>0</v>
      </c>
    </row>
    <row r="37" spans="1:21" x14ac:dyDescent="0.3">
      <c r="A37" s="3">
        <v>0.36458333333333298</v>
      </c>
      <c r="B37" s="2">
        <f>IF(B36="", "", Members!B43)</f>
        <v>0</v>
      </c>
      <c r="C37" s="2">
        <f>IF(C36="", "", Members!C43)</f>
        <v>0</v>
      </c>
      <c r="D37" s="2">
        <f>IF(D36="", "", Members!D43)</f>
        <v>0</v>
      </c>
      <c r="E37" s="2">
        <f>IF(E36="", "", Members!E43)</f>
        <v>0</v>
      </c>
      <c r="F37" s="2">
        <f>IF(F36="", "", Members!F43)</f>
        <v>0</v>
      </c>
      <c r="G37" s="2">
        <f>IF(G36="", "", Members!G43)</f>
        <v>0</v>
      </c>
      <c r="H37" s="2">
        <f>IF(H36="", "", Members!H43)</f>
        <v>0</v>
      </c>
      <c r="I37" s="2">
        <f>IF(I36="", "", Members!I43)</f>
        <v>0</v>
      </c>
      <c r="J37" s="2">
        <f>IF(J36="", "", Members!J43)</f>
        <v>0</v>
      </c>
      <c r="K37" s="2">
        <f>IF(K36="", "", Members!K43)</f>
        <v>0</v>
      </c>
      <c r="L37" s="2">
        <f>IF(L36="", "", Members!L43)</f>
        <v>0</v>
      </c>
      <c r="M37" s="2">
        <f>IF(M36="", "", Members!M43)</f>
        <v>0</v>
      </c>
      <c r="N37" s="2">
        <f>IF(N36="", "", Members!N43)</f>
        <v>0</v>
      </c>
      <c r="O37" s="2">
        <f>IF(O36="", "", Members!O43)</f>
        <v>0</v>
      </c>
      <c r="P37" s="2">
        <f>IF(P36="", "", Members!P43)</f>
        <v>0</v>
      </c>
      <c r="Q37" s="2">
        <f>IF(Q36="", "", Members!Q43)</f>
        <v>0</v>
      </c>
      <c r="R37" s="2">
        <f>IF(R36="", "", Members!R43)</f>
        <v>0</v>
      </c>
      <c r="S37" s="2">
        <f>IF(S36="", "", Members!S43)</f>
        <v>0</v>
      </c>
      <c r="T37" s="2">
        <f>IF(T36="", "", Members!T43)</f>
        <v>0</v>
      </c>
      <c r="U37" s="2">
        <f>IF(U36="", "", Members!U43)</f>
        <v>0</v>
      </c>
    </row>
    <row r="38" spans="1:21" x14ac:dyDescent="0.3">
      <c r="A38" s="3">
        <v>0.375</v>
      </c>
      <c r="B38" s="2">
        <f>IF(B37="", "", Members!B44)</f>
        <v>1</v>
      </c>
      <c r="C38" s="2">
        <f>IF(C37="", "", Members!C44)</f>
        <v>1</v>
      </c>
      <c r="D38" s="2">
        <f>IF(D37="", "", Members!D44)</f>
        <v>0</v>
      </c>
      <c r="E38" s="2">
        <f>IF(E37="", "", Members!E44)</f>
        <v>1</v>
      </c>
      <c r="F38" s="2">
        <f>IF(F37="", "", Members!F44)</f>
        <v>1</v>
      </c>
      <c r="G38" s="2">
        <f>IF(G37="", "", Members!G44)</f>
        <v>1</v>
      </c>
      <c r="H38" s="2">
        <f>IF(H37="", "", Members!H44)</f>
        <v>1</v>
      </c>
      <c r="I38" s="2">
        <f>IF(I37="", "", Members!I44)</f>
        <v>1</v>
      </c>
      <c r="J38" s="2">
        <f>IF(J37="", "", Members!J44)</f>
        <v>1</v>
      </c>
      <c r="K38" s="2">
        <f>IF(K37="", "", Members!K44)</f>
        <v>1</v>
      </c>
      <c r="L38" s="2">
        <f>IF(L37="", "", Members!L44)</f>
        <v>1</v>
      </c>
      <c r="M38" s="2">
        <f>IF(M37="", "", Members!M44)</f>
        <v>1</v>
      </c>
      <c r="N38" s="2">
        <f>IF(N37="", "", Members!N44)</f>
        <v>0</v>
      </c>
      <c r="O38" s="2">
        <f>IF(O37="", "", Members!O44)</f>
        <v>0</v>
      </c>
      <c r="P38" s="2">
        <f>IF(P37="", "", Members!P44)</f>
        <v>0</v>
      </c>
      <c r="Q38" s="2">
        <f>IF(Q37="", "", Members!Q44)</f>
        <v>0</v>
      </c>
      <c r="R38" s="2">
        <f>IF(R37="", "", Members!R44)</f>
        <v>0</v>
      </c>
      <c r="S38" s="2">
        <f>IF(S37="", "", Members!S44)</f>
        <v>0</v>
      </c>
      <c r="T38" s="2">
        <f>IF(T37="", "", Members!T44)</f>
        <v>0</v>
      </c>
      <c r="U38" s="2">
        <f>IF(U37="", "", Members!U44)</f>
        <v>0</v>
      </c>
    </row>
    <row r="39" spans="1:21" x14ac:dyDescent="0.3">
      <c r="A39" s="3">
        <v>0.38541666666666702</v>
      </c>
      <c r="B39" s="2">
        <f>IF(B38="", "", Members!B45)</f>
        <v>1</v>
      </c>
      <c r="C39" s="2">
        <f>IF(C38="", "", Members!C45)</f>
        <v>1</v>
      </c>
      <c r="D39" s="2">
        <f>IF(D38="", "", Members!D45)</f>
        <v>0</v>
      </c>
      <c r="E39" s="2">
        <f>IF(E38="", "", Members!E45)</f>
        <v>1</v>
      </c>
      <c r="F39" s="2">
        <f>IF(F38="", "", Members!F45)</f>
        <v>1</v>
      </c>
      <c r="G39" s="2">
        <f>IF(G38="", "", Members!G45)</f>
        <v>1</v>
      </c>
      <c r="H39" s="2">
        <f>IF(H38="", "", Members!H45)</f>
        <v>1</v>
      </c>
      <c r="I39" s="2">
        <f>IF(I38="", "", Members!I45)</f>
        <v>1</v>
      </c>
      <c r="J39" s="2">
        <f>IF(J38="", "", Members!J45)</f>
        <v>1</v>
      </c>
      <c r="K39" s="2">
        <f>IF(K38="", "", Members!K45)</f>
        <v>1</v>
      </c>
      <c r="L39" s="2">
        <f>IF(L38="", "", Members!L45)</f>
        <v>1</v>
      </c>
      <c r="M39" s="2">
        <f>IF(M38="", "", Members!M45)</f>
        <v>1</v>
      </c>
      <c r="N39" s="2">
        <f>IF(N38="", "", Members!N45)</f>
        <v>0</v>
      </c>
      <c r="O39" s="2">
        <f>IF(O38="", "", Members!O45)</f>
        <v>0</v>
      </c>
      <c r="P39" s="2">
        <f>IF(P38="", "", Members!P45)</f>
        <v>0</v>
      </c>
      <c r="Q39" s="2">
        <f>IF(Q38="", "", Members!Q45)</f>
        <v>0</v>
      </c>
      <c r="R39" s="2">
        <f>IF(R38="", "", Members!R45)</f>
        <v>0</v>
      </c>
      <c r="S39" s="2">
        <f>IF(S38="", "", Members!S45)</f>
        <v>0</v>
      </c>
      <c r="T39" s="2">
        <f>IF(T38="", "", Members!T45)</f>
        <v>0</v>
      </c>
      <c r="U39" s="2">
        <f>IF(U38="", "", Members!U45)</f>
        <v>0</v>
      </c>
    </row>
    <row r="40" spans="1:21" x14ac:dyDescent="0.3">
      <c r="A40" s="3">
        <v>0.39583333333333298</v>
      </c>
      <c r="B40" s="2">
        <f>IF(B39="", "", Members!B46)</f>
        <v>1</v>
      </c>
      <c r="C40" s="2">
        <f>IF(C39="", "", Members!C46)</f>
        <v>1</v>
      </c>
      <c r="D40" s="2">
        <f>IF(D39="", "", Members!D46)</f>
        <v>0</v>
      </c>
      <c r="E40" s="2">
        <f>IF(E39="", "", Members!E46)</f>
        <v>1</v>
      </c>
      <c r="F40" s="2">
        <f>IF(F39="", "", Members!F46)</f>
        <v>1</v>
      </c>
      <c r="G40" s="2">
        <f>IF(G39="", "", Members!G46)</f>
        <v>1</v>
      </c>
      <c r="H40" s="2">
        <f>IF(H39="", "", Members!H46)</f>
        <v>1</v>
      </c>
      <c r="I40" s="2">
        <f>IF(I39="", "", Members!I46)</f>
        <v>1</v>
      </c>
      <c r="J40" s="2">
        <f>IF(J39="", "", Members!J46)</f>
        <v>1</v>
      </c>
      <c r="K40" s="2">
        <f>IF(K39="", "", Members!K46)</f>
        <v>1</v>
      </c>
      <c r="L40" s="2">
        <f>IF(L39="", "", Members!L46)</f>
        <v>1</v>
      </c>
      <c r="M40" s="2">
        <f>IF(M39="", "", Members!M46)</f>
        <v>1</v>
      </c>
      <c r="N40" s="2">
        <f>IF(N39="", "", Members!N46)</f>
        <v>0</v>
      </c>
      <c r="O40" s="2">
        <f>IF(O39="", "", Members!O46)</f>
        <v>0</v>
      </c>
      <c r="P40" s="2">
        <f>IF(P39="", "", Members!P46)</f>
        <v>0</v>
      </c>
      <c r="Q40" s="2">
        <f>IF(Q39="", "", Members!Q46)</f>
        <v>0</v>
      </c>
      <c r="R40" s="2">
        <f>IF(R39="", "", Members!R46)</f>
        <v>0</v>
      </c>
      <c r="S40" s="2">
        <f>IF(S39="", "", Members!S46)</f>
        <v>0</v>
      </c>
      <c r="T40" s="2">
        <f>IF(T39="", "", Members!T46)</f>
        <v>0</v>
      </c>
      <c r="U40" s="2">
        <f>IF(U39="", "", Members!U46)</f>
        <v>0</v>
      </c>
    </row>
    <row r="41" spans="1:21" x14ac:dyDescent="0.3">
      <c r="A41" s="3">
        <v>0.40625</v>
      </c>
      <c r="B41" s="2">
        <f>IF(B40="", "", Members!B47)</f>
        <v>1</v>
      </c>
      <c r="C41" s="2">
        <f>IF(C40="", "", Members!C47)</f>
        <v>1</v>
      </c>
      <c r="D41" s="2">
        <f>IF(D40="", "", Members!D47)</f>
        <v>0</v>
      </c>
      <c r="E41" s="2">
        <f>IF(E40="", "", Members!E47)</f>
        <v>1</v>
      </c>
      <c r="F41" s="2">
        <f>IF(F40="", "", Members!F47)</f>
        <v>1</v>
      </c>
      <c r="G41" s="2">
        <f>IF(G40="", "", Members!G47)</f>
        <v>1</v>
      </c>
      <c r="H41" s="2">
        <f>IF(H40="", "", Members!H47)</f>
        <v>1</v>
      </c>
      <c r="I41" s="2">
        <f>IF(I40="", "", Members!I47)</f>
        <v>1</v>
      </c>
      <c r="J41" s="2">
        <f>IF(J40="", "", Members!J47)</f>
        <v>1</v>
      </c>
      <c r="K41" s="2">
        <f>IF(K40="", "", Members!K47)</f>
        <v>1</v>
      </c>
      <c r="L41" s="2">
        <f>IF(L40="", "", Members!L47)</f>
        <v>1</v>
      </c>
      <c r="M41" s="2">
        <f>IF(M40="", "", Members!M47)</f>
        <v>1</v>
      </c>
      <c r="N41" s="2">
        <f>IF(N40="", "", Members!N47)</f>
        <v>0</v>
      </c>
      <c r="O41" s="2">
        <f>IF(O40="", "", Members!O47)</f>
        <v>0</v>
      </c>
      <c r="P41" s="2">
        <f>IF(P40="", "", Members!P47)</f>
        <v>0</v>
      </c>
      <c r="Q41" s="2">
        <f>IF(Q40="", "", Members!Q47)</f>
        <v>0</v>
      </c>
      <c r="R41" s="2">
        <f>IF(R40="", "", Members!R47)</f>
        <v>0</v>
      </c>
      <c r="S41" s="2">
        <f>IF(S40="", "", Members!S47)</f>
        <v>0</v>
      </c>
      <c r="T41" s="2">
        <f>IF(T40="", "", Members!T47)</f>
        <v>0</v>
      </c>
      <c r="U41" s="2">
        <f>IF(U40="", "", Members!U47)</f>
        <v>0</v>
      </c>
    </row>
    <row r="42" spans="1:21" x14ac:dyDescent="0.3">
      <c r="A42" s="3">
        <v>0.41666666666666702</v>
      </c>
      <c r="B42" s="2">
        <f>IF(B41="", "", Members!B48)</f>
        <v>1</v>
      </c>
      <c r="C42" s="2">
        <f>IF(C41="", "", Members!C48)</f>
        <v>1</v>
      </c>
      <c r="D42" s="2">
        <f>IF(D41="", "", Members!D48)</f>
        <v>0</v>
      </c>
      <c r="E42" s="2">
        <f>IF(E41="", "", Members!E48)</f>
        <v>1</v>
      </c>
      <c r="F42" s="2">
        <f>IF(F41="", "", Members!F48)</f>
        <v>1</v>
      </c>
      <c r="G42" s="2">
        <f>IF(G41="", "", Members!G48)</f>
        <v>1</v>
      </c>
      <c r="H42" s="2">
        <f>IF(H41="", "", Members!H48)</f>
        <v>1</v>
      </c>
      <c r="I42" s="2">
        <f>IF(I41="", "", Members!I48)</f>
        <v>1</v>
      </c>
      <c r="J42" s="2">
        <f>IF(J41="", "", Members!J48)</f>
        <v>1</v>
      </c>
      <c r="K42" s="2">
        <f>IF(K41="", "", Members!K48)</f>
        <v>1</v>
      </c>
      <c r="L42" s="2">
        <f>IF(L41="", "", Members!L48)</f>
        <v>1</v>
      </c>
      <c r="M42" s="2">
        <f>IF(M41="", "", Members!M48)</f>
        <v>1</v>
      </c>
      <c r="N42" s="2">
        <f>IF(N41="", "", Members!N48)</f>
        <v>0</v>
      </c>
      <c r="O42" s="2">
        <f>IF(O41="", "", Members!O48)</f>
        <v>0</v>
      </c>
      <c r="P42" s="2">
        <f>IF(P41="", "", Members!P48)</f>
        <v>0</v>
      </c>
      <c r="Q42" s="2">
        <f>IF(Q41="", "", Members!Q48)</f>
        <v>0</v>
      </c>
      <c r="R42" s="2">
        <f>IF(R41="", "", Members!R48)</f>
        <v>0</v>
      </c>
      <c r="S42" s="2">
        <f>IF(S41="", "", Members!S48)</f>
        <v>0</v>
      </c>
      <c r="T42" s="2">
        <f>IF(T41="", "", Members!T48)</f>
        <v>0</v>
      </c>
      <c r="U42" s="2">
        <f>IF(U41="", "", Members!U48)</f>
        <v>0</v>
      </c>
    </row>
    <row r="43" spans="1:21" x14ac:dyDescent="0.3">
      <c r="A43" s="3">
        <v>0.42708333333333298</v>
      </c>
      <c r="B43" s="2">
        <f>IF(B42="", "", Members!B49)</f>
        <v>1</v>
      </c>
      <c r="C43" s="2">
        <f>IF(C42="", "", Members!C49)</f>
        <v>1</v>
      </c>
      <c r="D43" s="2">
        <f>IF(D42="", "", Members!D49)</f>
        <v>0</v>
      </c>
      <c r="E43" s="2">
        <f>IF(E42="", "", Members!E49)</f>
        <v>1</v>
      </c>
      <c r="F43" s="2">
        <f>IF(F42="", "", Members!F49)</f>
        <v>1</v>
      </c>
      <c r="G43" s="2">
        <f>IF(G42="", "", Members!G49)</f>
        <v>1</v>
      </c>
      <c r="H43" s="2">
        <f>IF(H42="", "", Members!H49)</f>
        <v>1</v>
      </c>
      <c r="I43" s="2">
        <f>IF(I42="", "", Members!I49)</f>
        <v>1</v>
      </c>
      <c r="J43" s="2">
        <f>IF(J42="", "", Members!J49)</f>
        <v>1</v>
      </c>
      <c r="K43" s="2">
        <f>IF(K42="", "", Members!K49)</f>
        <v>1</v>
      </c>
      <c r="L43" s="2">
        <f>IF(L42="", "", Members!L49)</f>
        <v>1</v>
      </c>
      <c r="M43" s="2">
        <f>IF(M42="", "", Members!M49)</f>
        <v>1</v>
      </c>
      <c r="N43" s="2">
        <f>IF(N42="", "", Members!N49)</f>
        <v>0</v>
      </c>
      <c r="O43" s="2">
        <f>IF(O42="", "", Members!O49)</f>
        <v>0</v>
      </c>
      <c r="P43" s="2">
        <f>IF(P42="", "", Members!P49)</f>
        <v>0</v>
      </c>
      <c r="Q43" s="2">
        <f>IF(Q42="", "", Members!Q49)</f>
        <v>0</v>
      </c>
      <c r="R43" s="2">
        <f>IF(R42="", "", Members!R49)</f>
        <v>0</v>
      </c>
      <c r="S43" s="2">
        <f>IF(S42="", "", Members!S49)</f>
        <v>0</v>
      </c>
      <c r="T43" s="2">
        <f>IF(T42="", "", Members!T49)</f>
        <v>0</v>
      </c>
      <c r="U43" s="2">
        <f>IF(U42="", "", Members!U49)</f>
        <v>0</v>
      </c>
    </row>
    <row r="44" spans="1:21" x14ac:dyDescent="0.3">
      <c r="A44" s="3">
        <v>0.4375</v>
      </c>
      <c r="B44" s="2">
        <f>IF(B43="", "", Members!B50)</f>
        <v>1</v>
      </c>
      <c r="C44" s="2">
        <f>IF(C43="", "", Members!C50)</f>
        <v>1</v>
      </c>
      <c r="D44" s="2">
        <f>IF(D43="", "", Members!D50)</f>
        <v>0</v>
      </c>
      <c r="E44" s="2">
        <f>IF(E43="", "", Members!E50)</f>
        <v>1</v>
      </c>
      <c r="F44" s="2">
        <f>IF(F43="", "", Members!F50)</f>
        <v>1</v>
      </c>
      <c r="G44" s="2">
        <f>IF(G43="", "", Members!G50)</f>
        <v>1</v>
      </c>
      <c r="H44" s="2">
        <f>IF(H43="", "", Members!H50)</f>
        <v>1</v>
      </c>
      <c r="I44" s="2">
        <f>IF(I43="", "", Members!I50)</f>
        <v>1</v>
      </c>
      <c r="J44" s="2">
        <f>IF(J43="", "", Members!J50)</f>
        <v>1</v>
      </c>
      <c r="K44" s="2">
        <f>IF(K43="", "", Members!K50)</f>
        <v>1</v>
      </c>
      <c r="L44" s="2">
        <f>IF(L43="", "", Members!L50)</f>
        <v>1</v>
      </c>
      <c r="M44" s="2">
        <f>IF(M43="", "", Members!M50)</f>
        <v>1</v>
      </c>
      <c r="N44" s="2">
        <f>IF(N43="", "", Members!N50)</f>
        <v>0</v>
      </c>
      <c r="O44" s="2">
        <f>IF(O43="", "", Members!O50)</f>
        <v>0</v>
      </c>
      <c r="P44" s="2">
        <f>IF(P43="", "", Members!P50)</f>
        <v>0</v>
      </c>
      <c r="Q44" s="2">
        <f>IF(Q43="", "", Members!Q50)</f>
        <v>0</v>
      </c>
      <c r="R44" s="2">
        <f>IF(R43="", "", Members!R50)</f>
        <v>0</v>
      </c>
      <c r="S44" s="2">
        <f>IF(S43="", "", Members!S50)</f>
        <v>0</v>
      </c>
      <c r="T44" s="2">
        <f>IF(T43="", "", Members!T50)</f>
        <v>0</v>
      </c>
      <c r="U44" s="2">
        <f>IF(U43="", "", Members!U50)</f>
        <v>0</v>
      </c>
    </row>
    <row r="45" spans="1:21" x14ac:dyDescent="0.3">
      <c r="A45" s="3">
        <v>0.44791666666666702</v>
      </c>
      <c r="B45" s="2">
        <f>IF(B44="", "", Members!B51)</f>
        <v>1</v>
      </c>
      <c r="C45" s="2">
        <f>IF(C44="", "", Members!C51)</f>
        <v>1</v>
      </c>
      <c r="D45" s="2">
        <f>IF(D44="", "", Members!D51)</f>
        <v>0</v>
      </c>
      <c r="E45" s="2">
        <f>IF(E44="", "", Members!E51)</f>
        <v>1</v>
      </c>
      <c r="F45" s="2">
        <f>IF(F44="", "", Members!F51)</f>
        <v>1</v>
      </c>
      <c r="G45" s="2">
        <f>IF(G44="", "", Members!G51)</f>
        <v>1</v>
      </c>
      <c r="H45" s="2">
        <f>IF(H44="", "", Members!H51)</f>
        <v>1</v>
      </c>
      <c r="I45" s="2">
        <f>IF(I44="", "", Members!I51)</f>
        <v>1</v>
      </c>
      <c r="J45" s="2">
        <f>IF(J44="", "", Members!J51)</f>
        <v>1</v>
      </c>
      <c r="K45" s="2">
        <f>IF(K44="", "", Members!K51)</f>
        <v>1</v>
      </c>
      <c r="L45" s="2">
        <f>IF(L44="", "", Members!L51)</f>
        <v>1</v>
      </c>
      <c r="M45" s="2">
        <f>IF(M44="", "", Members!M51)</f>
        <v>1</v>
      </c>
      <c r="N45" s="2">
        <f>IF(N44="", "", Members!N51)</f>
        <v>0</v>
      </c>
      <c r="O45" s="2">
        <f>IF(O44="", "", Members!O51)</f>
        <v>0</v>
      </c>
      <c r="P45" s="2">
        <f>IF(P44="", "", Members!P51)</f>
        <v>0</v>
      </c>
      <c r="Q45" s="2">
        <f>IF(Q44="", "", Members!Q51)</f>
        <v>0</v>
      </c>
      <c r="R45" s="2">
        <f>IF(R44="", "", Members!R51)</f>
        <v>0</v>
      </c>
      <c r="S45" s="2">
        <f>IF(S44="", "", Members!S51)</f>
        <v>0</v>
      </c>
      <c r="T45" s="2">
        <f>IF(T44="", "", Members!T51)</f>
        <v>0</v>
      </c>
      <c r="U45" s="2">
        <f>IF(U44="", "", Members!U51)</f>
        <v>0</v>
      </c>
    </row>
    <row r="46" spans="1:21" x14ac:dyDescent="0.3">
      <c r="A46" s="3">
        <v>0.45833333333333298</v>
      </c>
      <c r="B46" s="2">
        <f>IF(B45="", "", Members!B52)</f>
        <v>1</v>
      </c>
      <c r="C46" s="2">
        <f>IF(C45="", "", Members!C52)</f>
        <v>1</v>
      </c>
      <c r="D46" s="2">
        <f>IF(D45="", "", Members!D52)</f>
        <v>0</v>
      </c>
      <c r="E46" s="2">
        <f>IF(E45="", "", Members!E52)</f>
        <v>1</v>
      </c>
      <c r="F46" s="2">
        <f>IF(F45="", "", Members!F52)</f>
        <v>1</v>
      </c>
      <c r="G46" s="2">
        <f>IF(G45="", "", Members!G52)</f>
        <v>1</v>
      </c>
      <c r="H46" s="2">
        <f>IF(H45="", "", Members!H52)</f>
        <v>1</v>
      </c>
      <c r="I46" s="2">
        <f>IF(I45="", "", Members!I52)</f>
        <v>1</v>
      </c>
      <c r="J46" s="2">
        <f>IF(J45="", "", Members!J52)</f>
        <v>1</v>
      </c>
      <c r="K46" s="2">
        <f>IF(K45="", "", Members!K52)</f>
        <v>1</v>
      </c>
      <c r="L46" s="2">
        <f>IF(L45="", "", Members!L52)</f>
        <v>1</v>
      </c>
      <c r="M46" s="2">
        <f>IF(M45="", "", Members!M52)</f>
        <v>1</v>
      </c>
      <c r="N46" s="2">
        <f>IF(N45="", "", Members!N52)</f>
        <v>0</v>
      </c>
      <c r="O46" s="2">
        <f>IF(O45="", "", Members!O52)</f>
        <v>0</v>
      </c>
      <c r="P46" s="2">
        <f>IF(P45="", "", Members!P52)</f>
        <v>0</v>
      </c>
      <c r="Q46" s="2">
        <f>IF(Q45="", "", Members!Q52)</f>
        <v>0</v>
      </c>
      <c r="R46" s="2">
        <f>IF(R45="", "", Members!R52)</f>
        <v>0</v>
      </c>
      <c r="S46" s="2">
        <f>IF(S45="", "", Members!S52)</f>
        <v>0</v>
      </c>
      <c r="T46" s="2">
        <f>IF(T45="", "", Members!T52)</f>
        <v>0</v>
      </c>
      <c r="U46" s="2">
        <f>IF(U45="", "", Members!U52)</f>
        <v>0</v>
      </c>
    </row>
    <row r="47" spans="1:21" x14ac:dyDescent="0.3">
      <c r="A47" s="3">
        <v>0.46875</v>
      </c>
      <c r="B47" s="2">
        <f>IF(B46="", "", Members!B53)</f>
        <v>1</v>
      </c>
      <c r="C47" s="2">
        <f>IF(C46="", "", Members!C53)</f>
        <v>1</v>
      </c>
      <c r="D47" s="2">
        <f>IF(D46="", "", Members!D53)</f>
        <v>0</v>
      </c>
      <c r="E47" s="2">
        <f>IF(E46="", "", Members!E53)</f>
        <v>1</v>
      </c>
      <c r="F47" s="2">
        <f>IF(F46="", "", Members!F53)</f>
        <v>1</v>
      </c>
      <c r="G47" s="2">
        <f>IF(G46="", "", Members!G53)</f>
        <v>1</v>
      </c>
      <c r="H47" s="2">
        <f>IF(H46="", "", Members!H53)</f>
        <v>1</v>
      </c>
      <c r="I47" s="2">
        <f>IF(I46="", "", Members!I53)</f>
        <v>1</v>
      </c>
      <c r="J47" s="2">
        <f>IF(J46="", "", Members!J53)</f>
        <v>1</v>
      </c>
      <c r="K47" s="2">
        <f>IF(K46="", "", Members!K53)</f>
        <v>1</v>
      </c>
      <c r="L47" s="2">
        <f>IF(L46="", "", Members!L53)</f>
        <v>1</v>
      </c>
      <c r="M47" s="2">
        <f>IF(M46="", "", Members!M53)</f>
        <v>1</v>
      </c>
      <c r="N47" s="2">
        <f>IF(N46="", "", Members!N53)</f>
        <v>0</v>
      </c>
      <c r="O47" s="2">
        <f>IF(O46="", "", Members!O53)</f>
        <v>0</v>
      </c>
      <c r="P47" s="2">
        <f>IF(P46="", "", Members!P53)</f>
        <v>0</v>
      </c>
      <c r="Q47" s="2">
        <f>IF(Q46="", "", Members!Q53)</f>
        <v>0</v>
      </c>
      <c r="R47" s="2">
        <f>IF(R46="", "", Members!R53)</f>
        <v>0</v>
      </c>
      <c r="S47" s="2">
        <f>IF(S46="", "", Members!S53)</f>
        <v>0</v>
      </c>
      <c r="T47" s="2">
        <f>IF(T46="", "", Members!T53)</f>
        <v>0</v>
      </c>
      <c r="U47" s="2">
        <f>IF(U46="", "", Members!U53)</f>
        <v>0</v>
      </c>
    </row>
    <row r="48" spans="1:21" x14ac:dyDescent="0.3">
      <c r="A48" s="3">
        <v>0.47916666666666702</v>
      </c>
      <c r="B48" s="2">
        <f>IF(B47="", "", Members!B54)</f>
        <v>1</v>
      </c>
      <c r="C48" s="2">
        <f>IF(C47="", "", Members!C54)</f>
        <v>1</v>
      </c>
      <c r="D48" s="2">
        <f>IF(D47="", "", Members!D54)</f>
        <v>0</v>
      </c>
      <c r="E48" s="2">
        <f>IF(E47="", "", Members!E54)</f>
        <v>1</v>
      </c>
      <c r="F48" s="2">
        <f>IF(F47="", "", Members!F54)</f>
        <v>1</v>
      </c>
      <c r="G48" s="2">
        <f>IF(G47="", "", Members!G54)</f>
        <v>1</v>
      </c>
      <c r="H48" s="2">
        <f>IF(H47="", "", Members!H54)</f>
        <v>1</v>
      </c>
      <c r="I48" s="2">
        <f>IF(I47="", "", Members!I54)</f>
        <v>1</v>
      </c>
      <c r="J48" s="2">
        <f>IF(J47="", "", Members!J54)</f>
        <v>1</v>
      </c>
      <c r="K48" s="2">
        <f>IF(K47="", "", Members!K54)</f>
        <v>1</v>
      </c>
      <c r="L48" s="2">
        <f>IF(L47="", "", Members!L54)</f>
        <v>1</v>
      </c>
      <c r="M48" s="2">
        <f>IF(M47="", "", Members!M54)</f>
        <v>1</v>
      </c>
      <c r="N48" s="2">
        <f>IF(N47="", "", Members!N54)</f>
        <v>0</v>
      </c>
      <c r="O48" s="2">
        <f>IF(O47="", "", Members!O54)</f>
        <v>0</v>
      </c>
      <c r="P48" s="2">
        <f>IF(P47="", "", Members!P54)</f>
        <v>0</v>
      </c>
      <c r="Q48" s="2">
        <f>IF(Q47="", "", Members!Q54)</f>
        <v>0</v>
      </c>
      <c r="R48" s="2">
        <f>IF(R47="", "", Members!R54)</f>
        <v>0</v>
      </c>
      <c r="S48" s="2">
        <f>IF(S47="", "", Members!S54)</f>
        <v>0</v>
      </c>
      <c r="T48" s="2">
        <f>IF(T47="", "", Members!T54)</f>
        <v>0</v>
      </c>
      <c r="U48" s="2">
        <f>IF(U47="", "", Members!U54)</f>
        <v>0</v>
      </c>
    </row>
    <row r="49" spans="1:21" x14ac:dyDescent="0.3">
      <c r="A49" s="3">
        <v>0.48958333333333298</v>
      </c>
      <c r="B49" s="2">
        <f>IF(B48="", "", Members!B55)</f>
        <v>1</v>
      </c>
      <c r="C49" s="2">
        <f>IF(C48="", "", Members!C55)</f>
        <v>1</v>
      </c>
      <c r="D49" s="2">
        <f>IF(D48="", "", Members!D55)</f>
        <v>0</v>
      </c>
      <c r="E49" s="2">
        <f>IF(E48="", "", Members!E55)</f>
        <v>1</v>
      </c>
      <c r="F49" s="2">
        <f>IF(F48="", "", Members!F55)</f>
        <v>1</v>
      </c>
      <c r="G49" s="2">
        <f>IF(G48="", "", Members!G55)</f>
        <v>1</v>
      </c>
      <c r="H49" s="2">
        <f>IF(H48="", "", Members!H55)</f>
        <v>1</v>
      </c>
      <c r="I49" s="2">
        <f>IF(I48="", "", Members!I55)</f>
        <v>1</v>
      </c>
      <c r="J49" s="2">
        <f>IF(J48="", "", Members!J55)</f>
        <v>1</v>
      </c>
      <c r="K49" s="2">
        <f>IF(K48="", "", Members!K55)</f>
        <v>1</v>
      </c>
      <c r="L49" s="2">
        <f>IF(L48="", "", Members!L55)</f>
        <v>1</v>
      </c>
      <c r="M49" s="2">
        <f>IF(M48="", "", Members!M55)</f>
        <v>1</v>
      </c>
      <c r="N49" s="2">
        <f>IF(N48="", "", Members!N55)</f>
        <v>0</v>
      </c>
      <c r="O49" s="2">
        <f>IF(O48="", "", Members!O55)</f>
        <v>0</v>
      </c>
      <c r="P49" s="2">
        <f>IF(P48="", "", Members!P55)</f>
        <v>0</v>
      </c>
      <c r="Q49" s="2">
        <f>IF(Q48="", "", Members!Q55)</f>
        <v>0</v>
      </c>
      <c r="R49" s="2">
        <f>IF(R48="", "", Members!R55)</f>
        <v>0</v>
      </c>
      <c r="S49" s="2">
        <f>IF(S48="", "", Members!S55)</f>
        <v>0</v>
      </c>
      <c r="T49" s="2">
        <f>IF(T48="", "", Members!T55)</f>
        <v>0</v>
      </c>
      <c r="U49" s="2">
        <f>IF(U48="", "", Members!U55)</f>
        <v>0</v>
      </c>
    </row>
    <row r="50" spans="1:21" x14ac:dyDescent="0.3">
      <c r="A50" s="3">
        <v>0.5</v>
      </c>
      <c r="B50" s="2">
        <f>IF(B49="", "", Members!B56)</f>
        <v>1</v>
      </c>
      <c r="C50" s="2">
        <f>IF(C49="", "", Members!C56)</f>
        <v>1</v>
      </c>
      <c r="D50" s="2">
        <f>IF(D49="", "", Members!D56)</f>
        <v>0</v>
      </c>
      <c r="E50" s="2">
        <f>IF(E49="", "", Members!E56)</f>
        <v>1</v>
      </c>
      <c r="F50" s="2">
        <f>IF(F49="", "", Members!F56)</f>
        <v>1</v>
      </c>
      <c r="G50" s="2">
        <f>IF(G49="", "", Members!G56)</f>
        <v>1</v>
      </c>
      <c r="H50" s="2">
        <f>IF(H49="", "", Members!H56)</f>
        <v>1</v>
      </c>
      <c r="I50" s="2">
        <f>IF(I49="", "", Members!I56)</f>
        <v>1</v>
      </c>
      <c r="J50" s="2">
        <f>IF(J49="", "", Members!J56)</f>
        <v>1</v>
      </c>
      <c r="K50" s="2">
        <f>IF(K49="", "", Members!K56)</f>
        <v>1</v>
      </c>
      <c r="L50" s="2">
        <f>IF(L49="", "", Members!L56)</f>
        <v>1</v>
      </c>
      <c r="M50" s="2">
        <f>IF(M49="", "", Members!M56)</f>
        <v>1</v>
      </c>
      <c r="N50" s="2">
        <f>IF(N49="", "", Members!N56)</f>
        <v>0</v>
      </c>
      <c r="O50" s="2">
        <f>IF(O49="", "", Members!O56)</f>
        <v>0</v>
      </c>
      <c r="P50" s="2">
        <f>IF(P49="", "", Members!P56)</f>
        <v>0</v>
      </c>
      <c r="Q50" s="2">
        <f>IF(Q49="", "", Members!Q56)</f>
        <v>0</v>
      </c>
      <c r="R50" s="2">
        <f>IF(R49="", "", Members!R56)</f>
        <v>0</v>
      </c>
      <c r="S50" s="2">
        <f>IF(S49="", "", Members!S56)</f>
        <v>0</v>
      </c>
      <c r="T50" s="2">
        <f>IF(T49="", "", Members!T56)</f>
        <v>0</v>
      </c>
      <c r="U50" s="2">
        <f>IF(U49="", "", Members!U56)</f>
        <v>0</v>
      </c>
    </row>
    <row r="51" spans="1:21" x14ac:dyDescent="0.3">
      <c r="A51" s="3">
        <v>0.51041666666666696</v>
      </c>
      <c r="B51" s="2">
        <f>IF(B50="", "", Members!B57)</f>
        <v>1</v>
      </c>
      <c r="C51" s="2">
        <f>IF(C50="", "", Members!C57)</f>
        <v>1</v>
      </c>
      <c r="D51" s="2">
        <f>IF(D50="", "", Members!D57)</f>
        <v>0</v>
      </c>
      <c r="E51" s="2">
        <f>IF(E50="", "", Members!E57)</f>
        <v>1</v>
      </c>
      <c r="F51" s="2">
        <f>IF(F50="", "", Members!F57)</f>
        <v>1</v>
      </c>
      <c r="G51" s="2">
        <f>IF(G50="", "", Members!G57)</f>
        <v>1</v>
      </c>
      <c r="H51" s="2">
        <f>IF(H50="", "", Members!H57)</f>
        <v>1</v>
      </c>
      <c r="I51" s="2">
        <f>IF(I50="", "", Members!I57)</f>
        <v>1</v>
      </c>
      <c r="J51" s="2">
        <f>IF(J50="", "", Members!J57)</f>
        <v>1</v>
      </c>
      <c r="K51" s="2">
        <f>IF(K50="", "", Members!K57)</f>
        <v>1</v>
      </c>
      <c r="L51" s="2">
        <f>IF(L50="", "", Members!L57)</f>
        <v>1</v>
      </c>
      <c r="M51" s="2">
        <f>IF(M50="", "", Members!M57)</f>
        <v>1</v>
      </c>
      <c r="N51" s="2">
        <f>IF(N50="", "", Members!N57)</f>
        <v>0</v>
      </c>
      <c r="O51" s="2">
        <f>IF(O50="", "", Members!O57)</f>
        <v>0</v>
      </c>
      <c r="P51" s="2">
        <f>IF(P50="", "", Members!P57)</f>
        <v>0</v>
      </c>
      <c r="Q51" s="2">
        <f>IF(Q50="", "", Members!Q57)</f>
        <v>0</v>
      </c>
      <c r="R51" s="2">
        <f>IF(R50="", "", Members!R57)</f>
        <v>0</v>
      </c>
      <c r="S51" s="2">
        <f>IF(S50="", "", Members!S57)</f>
        <v>0</v>
      </c>
      <c r="T51" s="2">
        <f>IF(T50="", "", Members!T57)</f>
        <v>0</v>
      </c>
      <c r="U51" s="2">
        <f>IF(U50="", "", Members!U57)</f>
        <v>0</v>
      </c>
    </row>
    <row r="52" spans="1:21" x14ac:dyDescent="0.3">
      <c r="A52" s="3">
        <v>0.52083333333333304</v>
      </c>
      <c r="B52" s="2">
        <f>IF(B51="", "", Members!B58)</f>
        <v>1</v>
      </c>
      <c r="C52" s="2">
        <f>IF(C51="", "", Members!C58)</f>
        <v>1</v>
      </c>
      <c r="D52" s="2">
        <f>IF(D51="", "", Members!D58)</f>
        <v>0</v>
      </c>
      <c r="E52" s="2">
        <f>IF(E51="", "", Members!E58)</f>
        <v>1</v>
      </c>
      <c r="F52" s="2">
        <f>IF(F51="", "", Members!F58)</f>
        <v>1</v>
      </c>
      <c r="G52" s="2">
        <f>IF(G51="", "", Members!G58)</f>
        <v>1</v>
      </c>
      <c r="H52" s="2">
        <f>IF(H51="", "", Members!H58)</f>
        <v>1</v>
      </c>
      <c r="I52" s="2">
        <f>IF(I51="", "", Members!I58)</f>
        <v>1</v>
      </c>
      <c r="J52" s="2">
        <f>IF(J51="", "", Members!J58)</f>
        <v>1</v>
      </c>
      <c r="K52" s="2">
        <f>IF(K51="", "", Members!K58)</f>
        <v>1</v>
      </c>
      <c r="L52" s="2">
        <f>IF(L51="", "", Members!L58)</f>
        <v>1</v>
      </c>
      <c r="M52" s="2">
        <f>IF(M51="", "", Members!M58)</f>
        <v>1</v>
      </c>
      <c r="N52" s="2">
        <f>IF(N51="", "", Members!N58)</f>
        <v>0</v>
      </c>
      <c r="O52" s="2">
        <f>IF(O51="", "", Members!O58)</f>
        <v>0</v>
      </c>
      <c r="P52" s="2">
        <f>IF(P51="", "", Members!P58)</f>
        <v>0</v>
      </c>
      <c r="Q52" s="2">
        <f>IF(Q51="", "", Members!Q58)</f>
        <v>0</v>
      </c>
      <c r="R52" s="2">
        <f>IF(R51="", "", Members!R58)</f>
        <v>0</v>
      </c>
      <c r="S52" s="2">
        <f>IF(S51="", "", Members!S58)</f>
        <v>0</v>
      </c>
      <c r="T52" s="2">
        <f>IF(T51="", "", Members!T58)</f>
        <v>0</v>
      </c>
      <c r="U52" s="2">
        <f>IF(U51="", "", Members!U58)</f>
        <v>0</v>
      </c>
    </row>
    <row r="53" spans="1:21" x14ac:dyDescent="0.3">
      <c r="A53" s="3">
        <v>0.53125</v>
      </c>
      <c r="B53" s="2">
        <f>IF(B52="", "", Members!B59)</f>
        <v>1</v>
      </c>
      <c r="C53" s="2">
        <f>IF(C52="", "", Members!C59)</f>
        <v>1</v>
      </c>
      <c r="D53" s="2">
        <f>IF(D52="", "", Members!D59)</f>
        <v>0</v>
      </c>
      <c r="E53" s="2">
        <f>IF(E52="", "", Members!E59)</f>
        <v>1</v>
      </c>
      <c r="F53" s="2">
        <f>IF(F52="", "", Members!F59)</f>
        <v>1</v>
      </c>
      <c r="G53" s="2">
        <f>IF(G52="", "", Members!G59)</f>
        <v>1</v>
      </c>
      <c r="H53" s="2">
        <f>IF(H52="", "", Members!H59)</f>
        <v>1</v>
      </c>
      <c r="I53" s="2">
        <f>IF(I52="", "", Members!I59)</f>
        <v>1</v>
      </c>
      <c r="J53" s="2">
        <f>IF(J52="", "", Members!J59)</f>
        <v>1</v>
      </c>
      <c r="K53" s="2">
        <f>IF(K52="", "", Members!K59)</f>
        <v>1</v>
      </c>
      <c r="L53" s="2">
        <f>IF(L52="", "", Members!L59)</f>
        <v>1</v>
      </c>
      <c r="M53" s="2">
        <f>IF(M52="", "", Members!M59)</f>
        <v>1</v>
      </c>
      <c r="N53" s="2">
        <f>IF(N52="", "", Members!N59)</f>
        <v>0</v>
      </c>
      <c r="O53" s="2">
        <f>IF(O52="", "", Members!O59)</f>
        <v>0</v>
      </c>
      <c r="P53" s="2">
        <f>IF(P52="", "", Members!P59)</f>
        <v>0</v>
      </c>
      <c r="Q53" s="2">
        <f>IF(Q52="", "", Members!Q59)</f>
        <v>0</v>
      </c>
      <c r="R53" s="2">
        <f>IF(R52="", "", Members!R59)</f>
        <v>0</v>
      </c>
      <c r="S53" s="2">
        <f>IF(S52="", "", Members!S59)</f>
        <v>0</v>
      </c>
      <c r="T53" s="2">
        <f>IF(T52="", "", Members!T59)</f>
        <v>0</v>
      </c>
      <c r="U53" s="2">
        <f>IF(U52="", "", Members!U59)</f>
        <v>0</v>
      </c>
    </row>
    <row r="54" spans="1:21" x14ac:dyDescent="0.3">
      <c r="A54" s="3">
        <v>0.54166666666666696</v>
      </c>
      <c r="B54" s="2">
        <f>IF(B53="", "", Members!B60)</f>
        <v>1</v>
      </c>
      <c r="C54" s="2">
        <f>IF(C53="", "", Members!C60)</f>
        <v>1</v>
      </c>
      <c r="D54" s="2">
        <f>IF(D53="", "", Members!D60)</f>
        <v>0</v>
      </c>
      <c r="E54" s="2">
        <f>IF(E53="", "", Members!E60)</f>
        <v>1</v>
      </c>
      <c r="F54" s="2">
        <f>IF(F53="", "", Members!F60)</f>
        <v>1</v>
      </c>
      <c r="G54" s="2">
        <f>IF(G53="", "", Members!G60)</f>
        <v>1</v>
      </c>
      <c r="H54" s="2">
        <f>IF(H53="", "", Members!H60)</f>
        <v>1</v>
      </c>
      <c r="I54" s="2">
        <f>IF(I53="", "", Members!I60)</f>
        <v>1</v>
      </c>
      <c r="J54" s="2">
        <f>IF(J53="", "", Members!J60)</f>
        <v>1</v>
      </c>
      <c r="K54" s="2">
        <f>IF(K53="", "", Members!K60)</f>
        <v>1</v>
      </c>
      <c r="L54" s="2">
        <f>IF(L53="", "", Members!L60)</f>
        <v>1</v>
      </c>
      <c r="M54" s="2">
        <f>IF(M53="", "", Members!M60)</f>
        <v>1</v>
      </c>
      <c r="N54" s="2">
        <f>IF(N53="", "", Members!N60)</f>
        <v>0</v>
      </c>
      <c r="O54" s="2">
        <f>IF(O53="", "", Members!O60)</f>
        <v>0</v>
      </c>
      <c r="P54" s="2">
        <f>IF(P53="", "", Members!P60)</f>
        <v>0</v>
      </c>
      <c r="Q54" s="2">
        <f>IF(Q53="", "", Members!Q60)</f>
        <v>0</v>
      </c>
      <c r="R54" s="2">
        <f>IF(R53="", "", Members!R60)</f>
        <v>0</v>
      </c>
      <c r="S54" s="2">
        <f>IF(S53="", "", Members!S60)</f>
        <v>0</v>
      </c>
      <c r="T54" s="2">
        <f>IF(T53="", "", Members!T60)</f>
        <v>0</v>
      </c>
      <c r="U54" s="2">
        <f>IF(U53="", "", Members!U60)</f>
        <v>0</v>
      </c>
    </row>
    <row r="55" spans="1:21" x14ac:dyDescent="0.3">
      <c r="A55" s="3">
        <v>0.55208333333333304</v>
      </c>
      <c r="B55" s="2">
        <f>IF(B54="", "", Members!B61)</f>
        <v>1</v>
      </c>
      <c r="C55" s="2">
        <f>IF(C54="", "", Members!C61)</f>
        <v>1</v>
      </c>
      <c r="D55" s="2">
        <f>IF(D54="", "", Members!D61)</f>
        <v>0</v>
      </c>
      <c r="E55" s="2">
        <f>IF(E54="", "", Members!E61)</f>
        <v>1</v>
      </c>
      <c r="F55" s="2">
        <f>IF(F54="", "", Members!F61)</f>
        <v>1</v>
      </c>
      <c r="G55" s="2">
        <f>IF(G54="", "", Members!G61)</f>
        <v>1</v>
      </c>
      <c r="H55" s="2">
        <f>IF(H54="", "", Members!H61)</f>
        <v>1</v>
      </c>
      <c r="I55" s="2">
        <f>IF(I54="", "", Members!I61)</f>
        <v>1</v>
      </c>
      <c r="J55" s="2">
        <f>IF(J54="", "", Members!J61)</f>
        <v>1</v>
      </c>
      <c r="K55" s="2">
        <f>IF(K54="", "", Members!K61)</f>
        <v>1</v>
      </c>
      <c r="L55" s="2">
        <f>IF(L54="", "", Members!L61)</f>
        <v>1</v>
      </c>
      <c r="M55" s="2">
        <f>IF(M54="", "", Members!M61)</f>
        <v>1</v>
      </c>
      <c r="N55" s="2">
        <f>IF(N54="", "", Members!N61)</f>
        <v>0</v>
      </c>
      <c r="O55" s="2">
        <f>IF(O54="", "", Members!O61)</f>
        <v>0</v>
      </c>
      <c r="P55" s="2">
        <f>IF(P54="", "", Members!P61)</f>
        <v>0</v>
      </c>
      <c r="Q55" s="2">
        <f>IF(Q54="", "", Members!Q61)</f>
        <v>0</v>
      </c>
      <c r="R55" s="2">
        <f>IF(R54="", "", Members!R61)</f>
        <v>0</v>
      </c>
      <c r="S55" s="2">
        <f>IF(S54="", "", Members!S61)</f>
        <v>0</v>
      </c>
      <c r="T55" s="2">
        <f>IF(T54="", "", Members!T61)</f>
        <v>0</v>
      </c>
      <c r="U55" s="2">
        <f>IF(U54="", "", Members!U61)</f>
        <v>0</v>
      </c>
    </row>
    <row r="56" spans="1:21" x14ac:dyDescent="0.3">
      <c r="A56" s="3">
        <v>0.5625</v>
      </c>
      <c r="B56" s="2">
        <f>IF(B55="", "", Members!B62)</f>
        <v>1</v>
      </c>
      <c r="C56" s="2">
        <f>IF(C55="", "", Members!C62)</f>
        <v>1</v>
      </c>
      <c r="D56" s="2">
        <f>IF(D55="", "", Members!D62)</f>
        <v>0</v>
      </c>
      <c r="E56" s="2">
        <f>IF(E55="", "", Members!E62)</f>
        <v>1</v>
      </c>
      <c r="F56" s="2">
        <f>IF(F55="", "", Members!F62)</f>
        <v>1</v>
      </c>
      <c r="G56" s="2">
        <f>IF(G55="", "", Members!G62)</f>
        <v>1</v>
      </c>
      <c r="H56" s="2">
        <f>IF(H55="", "", Members!H62)</f>
        <v>1</v>
      </c>
      <c r="I56" s="2">
        <f>IF(I55="", "", Members!I62)</f>
        <v>1</v>
      </c>
      <c r="J56" s="2">
        <f>IF(J55="", "", Members!J62)</f>
        <v>1</v>
      </c>
      <c r="K56" s="2">
        <f>IF(K55="", "", Members!K62)</f>
        <v>1</v>
      </c>
      <c r="L56" s="2">
        <f>IF(L55="", "", Members!L62)</f>
        <v>1</v>
      </c>
      <c r="M56" s="2">
        <f>IF(M55="", "", Members!M62)</f>
        <v>1</v>
      </c>
      <c r="N56" s="2">
        <f>IF(N55="", "", Members!N62)</f>
        <v>0</v>
      </c>
      <c r="O56" s="2">
        <f>IF(O55="", "", Members!O62)</f>
        <v>0</v>
      </c>
      <c r="P56" s="2">
        <f>IF(P55="", "", Members!P62)</f>
        <v>0</v>
      </c>
      <c r="Q56" s="2">
        <f>IF(Q55="", "", Members!Q62)</f>
        <v>0</v>
      </c>
      <c r="R56" s="2">
        <f>IF(R55="", "", Members!R62)</f>
        <v>0</v>
      </c>
      <c r="S56" s="2">
        <f>IF(S55="", "", Members!S62)</f>
        <v>0</v>
      </c>
      <c r="T56" s="2">
        <f>IF(T55="", "", Members!T62)</f>
        <v>0</v>
      </c>
      <c r="U56" s="2">
        <f>IF(U55="", "", Members!U62)</f>
        <v>0</v>
      </c>
    </row>
    <row r="57" spans="1:21" x14ac:dyDescent="0.3">
      <c r="A57" s="3">
        <v>0.57291666666666696</v>
      </c>
      <c r="B57" s="2">
        <f>IF(B56="", "", Members!B63)</f>
        <v>1</v>
      </c>
      <c r="C57" s="2">
        <f>IF(C56="", "", Members!C63)</f>
        <v>1</v>
      </c>
      <c r="D57" s="2">
        <f>IF(D56="", "", Members!D63)</f>
        <v>0</v>
      </c>
      <c r="E57" s="2">
        <f>IF(E56="", "", Members!E63)</f>
        <v>1</v>
      </c>
      <c r="F57" s="2">
        <f>IF(F56="", "", Members!F63)</f>
        <v>1</v>
      </c>
      <c r="G57" s="2">
        <f>IF(G56="", "", Members!G63)</f>
        <v>1</v>
      </c>
      <c r="H57" s="2">
        <f>IF(H56="", "", Members!H63)</f>
        <v>1</v>
      </c>
      <c r="I57" s="2">
        <f>IF(I56="", "", Members!I63)</f>
        <v>1</v>
      </c>
      <c r="J57" s="2">
        <f>IF(J56="", "", Members!J63)</f>
        <v>1</v>
      </c>
      <c r="K57" s="2">
        <f>IF(K56="", "", Members!K63)</f>
        <v>1</v>
      </c>
      <c r="L57" s="2">
        <f>IF(L56="", "", Members!L63)</f>
        <v>1</v>
      </c>
      <c r="M57" s="2">
        <f>IF(M56="", "", Members!M63)</f>
        <v>1</v>
      </c>
      <c r="N57" s="2">
        <f>IF(N56="", "", Members!N63)</f>
        <v>0</v>
      </c>
      <c r="O57" s="2">
        <f>IF(O56="", "", Members!O63)</f>
        <v>0</v>
      </c>
      <c r="P57" s="2">
        <f>IF(P56="", "", Members!P63)</f>
        <v>0</v>
      </c>
      <c r="Q57" s="2">
        <f>IF(Q56="", "", Members!Q63)</f>
        <v>0</v>
      </c>
      <c r="R57" s="2">
        <f>IF(R56="", "", Members!R63)</f>
        <v>0</v>
      </c>
      <c r="S57" s="2">
        <f>IF(S56="", "", Members!S63)</f>
        <v>0</v>
      </c>
      <c r="T57" s="2">
        <f>IF(T56="", "", Members!T63)</f>
        <v>0</v>
      </c>
      <c r="U57" s="2">
        <f>IF(U56="", "", Members!U63)</f>
        <v>0</v>
      </c>
    </row>
    <row r="58" spans="1:21" x14ac:dyDescent="0.3">
      <c r="A58" s="3">
        <v>0.58333333333333304</v>
      </c>
      <c r="B58" s="2">
        <f>IF(B57="", "", Members!B64)</f>
        <v>0</v>
      </c>
      <c r="C58" s="2">
        <f>IF(C57="", "", Members!C64)</f>
        <v>1</v>
      </c>
      <c r="D58" s="2">
        <f>IF(D57="", "", Members!D64)</f>
        <v>1</v>
      </c>
      <c r="E58" s="2">
        <f>IF(E57="", "", Members!E64)</f>
        <v>1</v>
      </c>
      <c r="F58" s="2">
        <f>IF(F57="", "", Members!F64)</f>
        <v>1</v>
      </c>
      <c r="G58" s="2">
        <f>IF(G57="", "", Members!G64)</f>
        <v>1</v>
      </c>
      <c r="H58" s="2">
        <f>IF(H57="", "", Members!H64)</f>
        <v>1</v>
      </c>
      <c r="I58" s="2">
        <f>IF(I57="", "", Members!I64)</f>
        <v>1</v>
      </c>
      <c r="J58" s="2">
        <f>IF(J57="", "", Members!J64)</f>
        <v>1</v>
      </c>
      <c r="K58" s="2">
        <f>IF(K57="", "", Members!K64)</f>
        <v>1</v>
      </c>
      <c r="L58" s="2">
        <f>IF(L57="", "", Members!L64)</f>
        <v>1</v>
      </c>
      <c r="M58" s="2">
        <f>IF(M57="", "", Members!M64)</f>
        <v>1</v>
      </c>
      <c r="N58" s="2">
        <f>IF(N57="", "", Members!N64)</f>
        <v>0</v>
      </c>
      <c r="O58" s="2">
        <f>IF(O57="", "", Members!O64)</f>
        <v>0</v>
      </c>
      <c r="P58" s="2">
        <f>IF(P57="", "", Members!P64)</f>
        <v>0</v>
      </c>
      <c r="Q58" s="2">
        <f>IF(Q57="", "", Members!Q64)</f>
        <v>0</v>
      </c>
      <c r="R58" s="2">
        <f>IF(R57="", "", Members!R64)</f>
        <v>0</v>
      </c>
      <c r="S58" s="2">
        <f>IF(S57="", "", Members!S64)</f>
        <v>0</v>
      </c>
      <c r="T58" s="2">
        <f>IF(T57="", "", Members!T64)</f>
        <v>0</v>
      </c>
      <c r="U58" s="2">
        <f>IF(U57="", "", Members!U64)</f>
        <v>0</v>
      </c>
    </row>
    <row r="59" spans="1:21" x14ac:dyDescent="0.3">
      <c r="A59" s="3">
        <v>0.59375</v>
      </c>
      <c r="B59" s="2">
        <f>IF(B58="", "", Members!B65)</f>
        <v>0</v>
      </c>
      <c r="C59" s="2">
        <f>IF(C58="", "", Members!C65)</f>
        <v>1</v>
      </c>
      <c r="D59" s="2">
        <f>IF(D58="", "", Members!D65)</f>
        <v>1</v>
      </c>
      <c r="E59" s="2">
        <f>IF(E58="", "", Members!E65)</f>
        <v>1</v>
      </c>
      <c r="F59" s="2">
        <f>IF(F58="", "", Members!F65)</f>
        <v>1</v>
      </c>
      <c r="G59" s="2">
        <f>IF(G58="", "", Members!G65)</f>
        <v>1</v>
      </c>
      <c r="H59" s="2">
        <f>IF(H58="", "", Members!H65)</f>
        <v>1</v>
      </c>
      <c r="I59" s="2">
        <f>IF(I58="", "", Members!I65)</f>
        <v>1</v>
      </c>
      <c r="J59" s="2">
        <f>IF(J58="", "", Members!J65)</f>
        <v>1</v>
      </c>
      <c r="K59" s="2">
        <f>IF(K58="", "", Members!K65)</f>
        <v>1</v>
      </c>
      <c r="L59" s="2">
        <f>IF(L58="", "", Members!L65)</f>
        <v>1</v>
      </c>
      <c r="M59" s="2">
        <f>IF(M58="", "", Members!M65)</f>
        <v>1</v>
      </c>
      <c r="N59" s="2">
        <f>IF(N58="", "", Members!N65)</f>
        <v>0</v>
      </c>
      <c r="O59" s="2">
        <f>IF(O58="", "", Members!O65)</f>
        <v>0</v>
      </c>
      <c r="P59" s="2">
        <f>IF(P58="", "", Members!P65)</f>
        <v>0</v>
      </c>
      <c r="Q59" s="2">
        <f>IF(Q58="", "", Members!Q65)</f>
        <v>0</v>
      </c>
      <c r="R59" s="2">
        <f>IF(R58="", "", Members!R65)</f>
        <v>0</v>
      </c>
      <c r="S59" s="2">
        <f>IF(S58="", "", Members!S65)</f>
        <v>0</v>
      </c>
      <c r="T59" s="2">
        <f>IF(T58="", "", Members!T65)</f>
        <v>0</v>
      </c>
      <c r="U59" s="2">
        <f>IF(U58="", "", Members!U65)</f>
        <v>0</v>
      </c>
    </row>
    <row r="60" spans="1:21" x14ac:dyDescent="0.3">
      <c r="A60" s="3">
        <v>0.60416666666666696</v>
      </c>
      <c r="B60" s="2">
        <f>IF(B59="", "", Members!B66)</f>
        <v>0</v>
      </c>
      <c r="C60" s="2">
        <f>IF(C59="", "", Members!C66)</f>
        <v>1</v>
      </c>
      <c r="D60" s="2">
        <f>IF(D59="", "", Members!D66)</f>
        <v>1</v>
      </c>
      <c r="E60" s="2">
        <f>IF(E59="", "", Members!E66)</f>
        <v>1</v>
      </c>
      <c r="F60" s="2">
        <f>IF(F59="", "", Members!F66)</f>
        <v>1</v>
      </c>
      <c r="G60" s="2">
        <f>IF(G59="", "", Members!G66)</f>
        <v>1</v>
      </c>
      <c r="H60" s="2">
        <f>IF(H59="", "", Members!H66)</f>
        <v>1</v>
      </c>
      <c r="I60" s="2">
        <f>IF(I59="", "", Members!I66)</f>
        <v>1</v>
      </c>
      <c r="J60" s="2">
        <f>IF(J59="", "", Members!J66)</f>
        <v>1</v>
      </c>
      <c r="K60" s="2">
        <f>IF(K59="", "", Members!K66)</f>
        <v>1</v>
      </c>
      <c r="L60" s="2">
        <f>IF(L59="", "", Members!L66)</f>
        <v>1</v>
      </c>
      <c r="M60" s="2">
        <f>IF(M59="", "", Members!M66)</f>
        <v>1</v>
      </c>
      <c r="N60" s="2">
        <f>IF(N59="", "", Members!N66)</f>
        <v>0</v>
      </c>
      <c r="O60" s="2">
        <f>IF(O59="", "", Members!O66)</f>
        <v>0</v>
      </c>
      <c r="P60" s="2">
        <f>IF(P59="", "", Members!P66)</f>
        <v>0</v>
      </c>
      <c r="Q60" s="2">
        <f>IF(Q59="", "", Members!Q66)</f>
        <v>0</v>
      </c>
      <c r="R60" s="2">
        <f>IF(R59="", "", Members!R66)</f>
        <v>0</v>
      </c>
      <c r="S60" s="2">
        <f>IF(S59="", "", Members!S66)</f>
        <v>0</v>
      </c>
      <c r="T60" s="2">
        <f>IF(T59="", "", Members!T66)</f>
        <v>0</v>
      </c>
      <c r="U60" s="2">
        <f>IF(U59="", "", Members!U66)</f>
        <v>0</v>
      </c>
    </row>
    <row r="61" spans="1:21" x14ac:dyDescent="0.3">
      <c r="A61" s="3">
        <v>0.61458333333333304</v>
      </c>
      <c r="B61" s="2">
        <f>IF(B60="", "", Members!B67)</f>
        <v>0</v>
      </c>
      <c r="C61" s="2">
        <f>IF(C60="", "", Members!C67)</f>
        <v>1</v>
      </c>
      <c r="D61" s="2">
        <f>IF(D60="", "", Members!D67)</f>
        <v>1</v>
      </c>
      <c r="E61" s="2">
        <f>IF(E60="", "", Members!E67)</f>
        <v>1</v>
      </c>
      <c r="F61" s="2">
        <f>IF(F60="", "", Members!F67)</f>
        <v>1</v>
      </c>
      <c r="G61" s="2">
        <f>IF(G60="", "", Members!G67)</f>
        <v>1</v>
      </c>
      <c r="H61" s="2">
        <f>IF(H60="", "", Members!H67)</f>
        <v>1</v>
      </c>
      <c r="I61" s="2">
        <f>IF(I60="", "", Members!I67)</f>
        <v>1</v>
      </c>
      <c r="J61" s="2">
        <f>IF(J60="", "", Members!J67)</f>
        <v>1</v>
      </c>
      <c r="K61" s="2">
        <f>IF(K60="", "", Members!K67)</f>
        <v>1</v>
      </c>
      <c r="L61" s="2">
        <f>IF(L60="", "", Members!L67)</f>
        <v>1</v>
      </c>
      <c r="M61" s="2">
        <f>IF(M60="", "", Members!M67)</f>
        <v>1</v>
      </c>
      <c r="N61" s="2">
        <f>IF(N60="", "", Members!N67)</f>
        <v>0</v>
      </c>
      <c r="O61" s="2">
        <f>IF(O60="", "", Members!O67)</f>
        <v>0</v>
      </c>
      <c r="P61" s="2">
        <f>IF(P60="", "", Members!P67)</f>
        <v>0</v>
      </c>
      <c r="Q61" s="2">
        <f>IF(Q60="", "", Members!Q67)</f>
        <v>0</v>
      </c>
      <c r="R61" s="2">
        <f>IF(R60="", "", Members!R67)</f>
        <v>0</v>
      </c>
      <c r="S61" s="2">
        <f>IF(S60="", "", Members!S67)</f>
        <v>0</v>
      </c>
      <c r="T61" s="2">
        <f>IF(T60="", "", Members!T67)</f>
        <v>0</v>
      </c>
      <c r="U61" s="2">
        <f>IF(U60="", "", Members!U67)</f>
        <v>0</v>
      </c>
    </row>
    <row r="62" spans="1:21" x14ac:dyDescent="0.3">
      <c r="A62" s="3">
        <v>0.625</v>
      </c>
      <c r="B62" s="2">
        <f>IF(B61="", "", Members!B68)</f>
        <v>0</v>
      </c>
      <c r="C62" s="2">
        <f>IF(C61="", "", Members!C68)</f>
        <v>1</v>
      </c>
      <c r="D62" s="2">
        <f>IF(D61="", "", Members!D68)</f>
        <v>1</v>
      </c>
      <c r="E62" s="2">
        <f>IF(E61="", "", Members!E68)</f>
        <v>1</v>
      </c>
      <c r="F62" s="2">
        <f>IF(F61="", "", Members!F68)</f>
        <v>1</v>
      </c>
      <c r="G62" s="2">
        <f>IF(G61="", "", Members!G68)</f>
        <v>1</v>
      </c>
      <c r="H62" s="2">
        <f>IF(H61="", "", Members!H68)</f>
        <v>1</v>
      </c>
      <c r="I62" s="2">
        <f>IF(I61="", "", Members!I68)</f>
        <v>1</v>
      </c>
      <c r="J62" s="2">
        <f>IF(J61="", "", Members!J68)</f>
        <v>1</v>
      </c>
      <c r="K62" s="2">
        <f>IF(K61="", "", Members!K68)</f>
        <v>1</v>
      </c>
      <c r="L62" s="2">
        <f>IF(L61="", "", Members!L68)</f>
        <v>1</v>
      </c>
      <c r="M62" s="2">
        <f>IF(M61="", "", Members!M68)</f>
        <v>1</v>
      </c>
      <c r="N62" s="2">
        <f>IF(N61="", "", Members!N68)</f>
        <v>0</v>
      </c>
      <c r="O62" s="2">
        <f>IF(O61="", "", Members!O68)</f>
        <v>0</v>
      </c>
      <c r="P62" s="2">
        <f>IF(P61="", "", Members!P68)</f>
        <v>0</v>
      </c>
      <c r="Q62" s="2">
        <f>IF(Q61="", "", Members!Q68)</f>
        <v>0</v>
      </c>
      <c r="R62" s="2">
        <f>IF(R61="", "", Members!R68)</f>
        <v>0</v>
      </c>
      <c r="S62" s="2">
        <f>IF(S61="", "", Members!S68)</f>
        <v>0</v>
      </c>
      <c r="T62" s="2">
        <f>IF(T61="", "", Members!T68)</f>
        <v>0</v>
      </c>
      <c r="U62" s="2">
        <f>IF(U61="", "", Members!U68)</f>
        <v>0</v>
      </c>
    </row>
    <row r="63" spans="1:21" x14ac:dyDescent="0.3">
      <c r="A63" s="3">
        <v>0.63541666666666696</v>
      </c>
      <c r="B63" s="2">
        <f>IF(B62="", "", Members!B69)</f>
        <v>0</v>
      </c>
      <c r="C63" s="2">
        <f>IF(C62="", "", Members!C69)</f>
        <v>1</v>
      </c>
      <c r="D63" s="2">
        <f>IF(D62="", "", Members!D69)</f>
        <v>1</v>
      </c>
      <c r="E63" s="2">
        <f>IF(E62="", "", Members!E69)</f>
        <v>1</v>
      </c>
      <c r="F63" s="2">
        <f>IF(F62="", "", Members!F69)</f>
        <v>1</v>
      </c>
      <c r="G63" s="2">
        <f>IF(G62="", "", Members!G69)</f>
        <v>1</v>
      </c>
      <c r="H63" s="2">
        <f>IF(H62="", "", Members!H69)</f>
        <v>1</v>
      </c>
      <c r="I63" s="2">
        <f>IF(I62="", "", Members!I69)</f>
        <v>1</v>
      </c>
      <c r="J63" s="2">
        <f>IF(J62="", "", Members!J69)</f>
        <v>1</v>
      </c>
      <c r="K63" s="2">
        <f>IF(K62="", "", Members!K69)</f>
        <v>1</v>
      </c>
      <c r="L63" s="2">
        <f>IF(L62="", "", Members!L69)</f>
        <v>1</v>
      </c>
      <c r="M63" s="2">
        <f>IF(M62="", "", Members!M69)</f>
        <v>1</v>
      </c>
      <c r="N63" s="2">
        <f>IF(N62="", "", Members!N69)</f>
        <v>0</v>
      </c>
      <c r="O63" s="2">
        <f>IF(O62="", "", Members!O69)</f>
        <v>0</v>
      </c>
      <c r="P63" s="2">
        <f>IF(P62="", "", Members!P69)</f>
        <v>0</v>
      </c>
      <c r="Q63" s="2">
        <f>IF(Q62="", "", Members!Q69)</f>
        <v>0</v>
      </c>
      <c r="R63" s="2">
        <f>IF(R62="", "", Members!R69)</f>
        <v>0</v>
      </c>
      <c r="S63" s="2">
        <f>IF(S62="", "", Members!S69)</f>
        <v>0</v>
      </c>
      <c r="T63" s="2">
        <f>IF(T62="", "", Members!T69)</f>
        <v>0</v>
      </c>
      <c r="U63" s="2">
        <f>IF(U62="", "", Members!U69)</f>
        <v>0</v>
      </c>
    </row>
    <row r="64" spans="1:21" x14ac:dyDescent="0.3">
      <c r="A64" s="3">
        <v>0.64583333333333304</v>
      </c>
      <c r="B64" s="2">
        <f>IF(B63="", "", Members!B70)</f>
        <v>0</v>
      </c>
      <c r="C64" s="2">
        <f>IF(C63="", "", Members!C70)</f>
        <v>1</v>
      </c>
      <c r="D64" s="2">
        <f>IF(D63="", "", Members!D70)</f>
        <v>1</v>
      </c>
      <c r="E64" s="2">
        <f>IF(E63="", "", Members!E70)</f>
        <v>1</v>
      </c>
      <c r="F64" s="2">
        <f>IF(F63="", "", Members!F70)</f>
        <v>1</v>
      </c>
      <c r="G64" s="2">
        <f>IF(G63="", "", Members!G70)</f>
        <v>1</v>
      </c>
      <c r="H64" s="2">
        <f>IF(H63="", "", Members!H70)</f>
        <v>1</v>
      </c>
      <c r="I64" s="2">
        <f>IF(I63="", "", Members!I70)</f>
        <v>1</v>
      </c>
      <c r="J64" s="2">
        <f>IF(J63="", "", Members!J70)</f>
        <v>1</v>
      </c>
      <c r="K64" s="2">
        <f>IF(K63="", "", Members!K70)</f>
        <v>1</v>
      </c>
      <c r="L64" s="2">
        <f>IF(L63="", "", Members!L70)</f>
        <v>1</v>
      </c>
      <c r="M64" s="2">
        <f>IF(M63="", "", Members!M70)</f>
        <v>1</v>
      </c>
      <c r="N64" s="2">
        <f>IF(N63="", "", Members!N70)</f>
        <v>0</v>
      </c>
      <c r="O64" s="2">
        <f>IF(O63="", "", Members!O70)</f>
        <v>0</v>
      </c>
      <c r="P64" s="2">
        <f>IF(P63="", "", Members!P70)</f>
        <v>0</v>
      </c>
      <c r="Q64" s="2">
        <f>IF(Q63="", "", Members!Q70)</f>
        <v>0</v>
      </c>
      <c r="R64" s="2">
        <f>IF(R63="", "", Members!R70)</f>
        <v>0</v>
      </c>
      <c r="S64" s="2">
        <f>IF(S63="", "", Members!S70)</f>
        <v>0</v>
      </c>
      <c r="T64" s="2">
        <f>IF(T63="", "", Members!T70)</f>
        <v>0</v>
      </c>
      <c r="U64" s="2">
        <f>IF(U63="", "", Members!U70)</f>
        <v>0</v>
      </c>
    </row>
    <row r="65" spans="1:21" x14ac:dyDescent="0.3">
      <c r="A65" s="3">
        <v>0.65625</v>
      </c>
      <c r="B65" s="2">
        <f>IF(B64="", "", Members!B71)</f>
        <v>0</v>
      </c>
      <c r="C65" s="2">
        <f>IF(C64="", "", Members!C71)</f>
        <v>1</v>
      </c>
      <c r="D65" s="2">
        <f>IF(D64="", "", Members!D71)</f>
        <v>1</v>
      </c>
      <c r="E65" s="2">
        <f>IF(E64="", "", Members!E71)</f>
        <v>1</v>
      </c>
      <c r="F65" s="2">
        <f>IF(F64="", "", Members!F71)</f>
        <v>1</v>
      </c>
      <c r="G65" s="2">
        <f>IF(G64="", "", Members!G71)</f>
        <v>1</v>
      </c>
      <c r="H65" s="2">
        <f>IF(H64="", "", Members!H71)</f>
        <v>1</v>
      </c>
      <c r="I65" s="2">
        <f>IF(I64="", "", Members!I71)</f>
        <v>1</v>
      </c>
      <c r="J65" s="2">
        <f>IF(J64="", "", Members!J71)</f>
        <v>1</v>
      </c>
      <c r="K65" s="2">
        <f>IF(K64="", "", Members!K71)</f>
        <v>1</v>
      </c>
      <c r="L65" s="2">
        <f>IF(L64="", "", Members!L71)</f>
        <v>1</v>
      </c>
      <c r="M65" s="2">
        <f>IF(M64="", "", Members!M71)</f>
        <v>1</v>
      </c>
      <c r="N65" s="2">
        <f>IF(N64="", "", Members!N71)</f>
        <v>0</v>
      </c>
      <c r="O65" s="2">
        <f>IF(O64="", "", Members!O71)</f>
        <v>0</v>
      </c>
      <c r="P65" s="2">
        <f>IF(P64="", "", Members!P71)</f>
        <v>0</v>
      </c>
      <c r="Q65" s="2">
        <f>IF(Q64="", "", Members!Q71)</f>
        <v>0</v>
      </c>
      <c r="R65" s="2">
        <f>IF(R64="", "", Members!R71)</f>
        <v>0</v>
      </c>
      <c r="S65" s="2">
        <f>IF(S64="", "", Members!S71)</f>
        <v>0</v>
      </c>
      <c r="T65" s="2">
        <f>IF(T64="", "", Members!T71)</f>
        <v>0</v>
      </c>
      <c r="U65" s="2">
        <f>IF(U64="", "", Members!U71)</f>
        <v>0</v>
      </c>
    </row>
    <row r="66" spans="1:21" x14ac:dyDescent="0.3">
      <c r="A66" s="3">
        <v>0.66666666666666696</v>
      </c>
      <c r="B66" s="2">
        <f>IF(B65="", "", Members!B72)</f>
        <v>0</v>
      </c>
      <c r="C66" s="2">
        <f>IF(C65="", "", Members!C72)</f>
        <v>1</v>
      </c>
      <c r="D66" s="2">
        <f>IF(D65="", "", Members!D72)</f>
        <v>1</v>
      </c>
      <c r="E66" s="2">
        <f>IF(E65="", "", Members!E72)</f>
        <v>1</v>
      </c>
      <c r="F66" s="2">
        <f>IF(F65="", "", Members!F72)</f>
        <v>1</v>
      </c>
      <c r="G66" s="2">
        <f>IF(G65="", "", Members!G72)</f>
        <v>1</v>
      </c>
      <c r="H66" s="2">
        <f>IF(H65="", "", Members!H72)</f>
        <v>1</v>
      </c>
      <c r="I66" s="2">
        <f>IF(I65="", "", Members!I72)</f>
        <v>1</v>
      </c>
      <c r="J66" s="2">
        <f>IF(J65="", "", Members!J72)</f>
        <v>1</v>
      </c>
      <c r="K66" s="2">
        <f>IF(K65="", "", Members!K72)</f>
        <v>1</v>
      </c>
      <c r="L66" s="2">
        <f>IF(L65="", "", Members!L72)</f>
        <v>1</v>
      </c>
      <c r="M66" s="2">
        <f>IF(M65="", "", Members!M72)</f>
        <v>1</v>
      </c>
      <c r="N66" s="2">
        <f>IF(N65="", "", Members!N72)</f>
        <v>0</v>
      </c>
      <c r="O66" s="2">
        <f>IF(O65="", "", Members!O72)</f>
        <v>0</v>
      </c>
      <c r="P66" s="2">
        <f>IF(P65="", "", Members!P72)</f>
        <v>0</v>
      </c>
      <c r="Q66" s="2">
        <f>IF(Q65="", "", Members!Q72)</f>
        <v>0</v>
      </c>
      <c r="R66" s="2">
        <f>IF(R65="", "", Members!R72)</f>
        <v>0</v>
      </c>
      <c r="S66" s="2">
        <f>IF(S65="", "", Members!S72)</f>
        <v>0</v>
      </c>
      <c r="T66" s="2">
        <f>IF(T65="", "", Members!T72)</f>
        <v>0</v>
      </c>
      <c r="U66" s="2">
        <f>IF(U65="", "", Members!U72)</f>
        <v>0</v>
      </c>
    </row>
    <row r="67" spans="1:21" x14ac:dyDescent="0.3">
      <c r="A67" s="3">
        <v>0.67708333333333304</v>
      </c>
      <c r="B67" s="2">
        <f>IF(B66="", "", Members!B73)</f>
        <v>0</v>
      </c>
      <c r="C67" s="2">
        <f>IF(C66="", "", Members!C73)</f>
        <v>1</v>
      </c>
      <c r="D67" s="2">
        <f>IF(D66="", "", Members!D73)</f>
        <v>1</v>
      </c>
      <c r="E67" s="2">
        <f>IF(E66="", "", Members!E73)</f>
        <v>1</v>
      </c>
      <c r="F67" s="2">
        <f>IF(F66="", "", Members!F73)</f>
        <v>1</v>
      </c>
      <c r="G67" s="2">
        <f>IF(G66="", "", Members!G73)</f>
        <v>1</v>
      </c>
      <c r="H67" s="2">
        <f>IF(H66="", "", Members!H73)</f>
        <v>1</v>
      </c>
      <c r="I67" s="2">
        <f>IF(I66="", "", Members!I73)</f>
        <v>1</v>
      </c>
      <c r="J67" s="2">
        <f>IF(J66="", "", Members!J73)</f>
        <v>1</v>
      </c>
      <c r="K67" s="2">
        <f>IF(K66="", "", Members!K73)</f>
        <v>1</v>
      </c>
      <c r="L67" s="2">
        <f>IF(L66="", "", Members!L73)</f>
        <v>1</v>
      </c>
      <c r="M67" s="2">
        <f>IF(M66="", "", Members!M73)</f>
        <v>1</v>
      </c>
      <c r="N67" s="2">
        <f>IF(N66="", "", Members!N73)</f>
        <v>0</v>
      </c>
      <c r="O67" s="2">
        <f>IF(O66="", "", Members!O73)</f>
        <v>0</v>
      </c>
      <c r="P67" s="2">
        <f>IF(P66="", "", Members!P73)</f>
        <v>0</v>
      </c>
      <c r="Q67" s="2">
        <f>IF(Q66="", "", Members!Q73)</f>
        <v>0</v>
      </c>
      <c r="R67" s="2">
        <f>IF(R66="", "", Members!R73)</f>
        <v>0</v>
      </c>
      <c r="S67" s="2">
        <f>IF(S66="", "", Members!S73)</f>
        <v>0</v>
      </c>
      <c r="T67" s="2">
        <f>IF(T66="", "", Members!T73)</f>
        <v>0</v>
      </c>
      <c r="U67" s="2">
        <f>IF(U66="", "", Members!U73)</f>
        <v>0</v>
      </c>
    </row>
    <row r="68" spans="1:21" x14ac:dyDescent="0.3">
      <c r="A68" s="3">
        <v>0.6875</v>
      </c>
      <c r="B68" s="2">
        <f>IF(B67="", "", Members!B74)</f>
        <v>0</v>
      </c>
      <c r="C68" s="2">
        <f>IF(C67="", "", Members!C74)</f>
        <v>1</v>
      </c>
      <c r="D68" s="2">
        <f>IF(D67="", "", Members!D74)</f>
        <v>1</v>
      </c>
      <c r="E68" s="2">
        <f>IF(E67="", "", Members!E74)</f>
        <v>1</v>
      </c>
      <c r="F68" s="2">
        <f>IF(F67="", "", Members!F74)</f>
        <v>1</v>
      </c>
      <c r="G68" s="2">
        <f>IF(G67="", "", Members!G74)</f>
        <v>1</v>
      </c>
      <c r="H68" s="2">
        <f>IF(H67="", "", Members!H74)</f>
        <v>1</v>
      </c>
      <c r="I68" s="2">
        <f>IF(I67="", "", Members!I74)</f>
        <v>1</v>
      </c>
      <c r="J68" s="2">
        <f>IF(J67="", "", Members!J74)</f>
        <v>1</v>
      </c>
      <c r="K68" s="2">
        <f>IF(K67="", "", Members!K74)</f>
        <v>1</v>
      </c>
      <c r="L68" s="2">
        <f>IF(L67="", "", Members!L74)</f>
        <v>1</v>
      </c>
      <c r="M68" s="2">
        <f>IF(M67="", "", Members!M74)</f>
        <v>1</v>
      </c>
      <c r="N68" s="2">
        <f>IF(N67="", "", Members!N74)</f>
        <v>0</v>
      </c>
      <c r="O68" s="2">
        <f>IF(O67="", "", Members!O74)</f>
        <v>0</v>
      </c>
      <c r="P68" s="2">
        <f>IF(P67="", "", Members!P74)</f>
        <v>0</v>
      </c>
      <c r="Q68" s="2">
        <f>IF(Q67="", "", Members!Q74)</f>
        <v>0</v>
      </c>
      <c r="R68" s="2">
        <f>IF(R67="", "", Members!R74)</f>
        <v>0</v>
      </c>
      <c r="S68" s="2">
        <f>IF(S67="", "", Members!S74)</f>
        <v>0</v>
      </c>
      <c r="T68" s="2">
        <f>IF(T67="", "", Members!T74)</f>
        <v>0</v>
      </c>
      <c r="U68" s="2">
        <f>IF(U67="", "", Members!U74)</f>
        <v>0</v>
      </c>
    </row>
    <row r="69" spans="1:21" x14ac:dyDescent="0.3">
      <c r="A69" s="3">
        <v>0.69791666666666696</v>
      </c>
      <c r="B69" s="2">
        <f>IF(B68="", "", Members!B75)</f>
        <v>0</v>
      </c>
      <c r="C69" s="2">
        <f>IF(C68="", "", Members!C75)</f>
        <v>1</v>
      </c>
      <c r="D69" s="2">
        <f>IF(D68="", "", Members!D75)</f>
        <v>1</v>
      </c>
      <c r="E69" s="2">
        <f>IF(E68="", "", Members!E75)</f>
        <v>1</v>
      </c>
      <c r="F69" s="2">
        <f>IF(F68="", "", Members!F75)</f>
        <v>1</v>
      </c>
      <c r="G69" s="2">
        <f>IF(G68="", "", Members!G75)</f>
        <v>1</v>
      </c>
      <c r="H69" s="2">
        <f>IF(H68="", "", Members!H75)</f>
        <v>1</v>
      </c>
      <c r="I69" s="2">
        <f>IF(I68="", "", Members!I75)</f>
        <v>1</v>
      </c>
      <c r="J69" s="2">
        <f>IF(J68="", "", Members!J75)</f>
        <v>1</v>
      </c>
      <c r="K69" s="2">
        <f>IF(K68="", "", Members!K75)</f>
        <v>1</v>
      </c>
      <c r="L69" s="2">
        <f>IF(L68="", "", Members!L75)</f>
        <v>1</v>
      </c>
      <c r="M69" s="2">
        <f>IF(M68="", "", Members!M75)</f>
        <v>1</v>
      </c>
      <c r="N69" s="2">
        <f>IF(N68="", "", Members!N75)</f>
        <v>0</v>
      </c>
      <c r="O69" s="2">
        <f>IF(O68="", "", Members!O75)</f>
        <v>0</v>
      </c>
      <c r="P69" s="2">
        <f>IF(P68="", "", Members!P75)</f>
        <v>0</v>
      </c>
      <c r="Q69" s="2">
        <f>IF(Q68="", "", Members!Q75)</f>
        <v>0</v>
      </c>
      <c r="R69" s="2">
        <f>IF(R68="", "", Members!R75)</f>
        <v>0</v>
      </c>
      <c r="S69" s="2">
        <f>IF(S68="", "", Members!S75)</f>
        <v>0</v>
      </c>
      <c r="T69" s="2">
        <f>IF(T68="", "", Members!T75)</f>
        <v>0</v>
      </c>
      <c r="U69" s="2">
        <f>IF(U68="", "", Members!U75)</f>
        <v>0</v>
      </c>
    </row>
    <row r="70" spans="1:21" x14ac:dyDescent="0.3">
      <c r="A70" s="3">
        <v>0.70833333333333304</v>
      </c>
      <c r="B70" s="2">
        <f>IF(B69="", "", Members!B76)</f>
        <v>0</v>
      </c>
      <c r="C70" s="2">
        <f>IF(C69="", "", Members!C76)</f>
        <v>1</v>
      </c>
      <c r="D70" s="2">
        <f>IF(D69="", "", Members!D76)</f>
        <v>1</v>
      </c>
      <c r="E70" s="2">
        <f>IF(E69="", "", Members!E76)</f>
        <v>1</v>
      </c>
      <c r="F70" s="2">
        <f>IF(F69="", "", Members!F76)</f>
        <v>1</v>
      </c>
      <c r="G70" s="2">
        <f>IF(G69="", "", Members!G76)</f>
        <v>1</v>
      </c>
      <c r="H70" s="2">
        <f>IF(H69="", "", Members!H76)</f>
        <v>1</v>
      </c>
      <c r="I70" s="2">
        <f>IF(I69="", "", Members!I76)</f>
        <v>1</v>
      </c>
      <c r="J70" s="2">
        <f>IF(J69="", "", Members!J76)</f>
        <v>1</v>
      </c>
      <c r="K70" s="2">
        <f>IF(K69="", "", Members!K76)</f>
        <v>1</v>
      </c>
      <c r="L70" s="2">
        <f>IF(L69="", "", Members!L76)</f>
        <v>1</v>
      </c>
      <c r="M70" s="2">
        <f>IF(M69="", "", Members!M76)</f>
        <v>1</v>
      </c>
      <c r="N70" s="2">
        <f>IF(N69="", "", Members!N76)</f>
        <v>0</v>
      </c>
      <c r="O70" s="2">
        <f>IF(O69="", "", Members!O76)</f>
        <v>0</v>
      </c>
      <c r="P70" s="2">
        <f>IF(P69="", "", Members!P76)</f>
        <v>0</v>
      </c>
      <c r="Q70" s="2">
        <f>IF(Q69="", "", Members!Q76)</f>
        <v>0</v>
      </c>
      <c r="R70" s="2">
        <f>IF(R69="", "", Members!R76)</f>
        <v>0</v>
      </c>
      <c r="S70" s="2">
        <f>IF(S69="", "", Members!S76)</f>
        <v>0</v>
      </c>
      <c r="T70" s="2">
        <f>IF(T69="", "", Members!T76)</f>
        <v>0</v>
      </c>
      <c r="U70" s="2">
        <f>IF(U69="", "", Members!U76)</f>
        <v>0</v>
      </c>
    </row>
    <row r="71" spans="1:21" x14ac:dyDescent="0.3">
      <c r="A71" s="3">
        <v>0.71875</v>
      </c>
      <c r="B71" s="2">
        <f>IF(B70="", "", Members!B77)</f>
        <v>0</v>
      </c>
      <c r="C71" s="2">
        <f>IF(C70="", "", Members!C77)</f>
        <v>1</v>
      </c>
      <c r="D71" s="2">
        <f>IF(D70="", "", Members!D77)</f>
        <v>1</v>
      </c>
      <c r="E71" s="2">
        <f>IF(E70="", "", Members!E77)</f>
        <v>1</v>
      </c>
      <c r="F71" s="2">
        <f>IF(F70="", "", Members!F77)</f>
        <v>1</v>
      </c>
      <c r="G71" s="2">
        <f>IF(G70="", "", Members!G77)</f>
        <v>1</v>
      </c>
      <c r="H71" s="2">
        <f>IF(H70="", "", Members!H77)</f>
        <v>1</v>
      </c>
      <c r="I71" s="2">
        <f>IF(I70="", "", Members!I77)</f>
        <v>1</v>
      </c>
      <c r="J71" s="2">
        <f>IF(J70="", "", Members!J77)</f>
        <v>1</v>
      </c>
      <c r="K71" s="2">
        <f>IF(K70="", "", Members!K77)</f>
        <v>1</v>
      </c>
      <c r="L71" s="2">
        <f>IF(L70="", "", Members!L77)</f>
        <v>1</v>
      </c>
      <c r="M71" s="2">
        <f>IF(M70="", "", Members!M77)</f>
        <v>1</v>
      </c>
      <c r="N71" s="2">
        <f>IF(N70="", "", Members!N77)</f>
        <v>0</v>
      </c>
      <c r="O71" s="2">
        <f>IF(O70="", "", Members!O77)</f>
        <v>0</v>
      </c>
      <c r="P71" s="2">
        <f>IF(P70="", "", Members!P77)</f>
        <v>0</v>
      </c>
      <c r="Q71" s="2">
        <f>IF(Q70="", "", Members!Q77)</f>
        <v>0</v>
      </c>
      <c r="R71" s="2">
        <f>IF(R70="", "", Members!R77)</f>
        <v>0</v>
      </c>
      <c r="S71" s="2">
        <f>IF(S70="", "", Members!S77)</f>
        <v>0</v>
      </c>
      <c r="T71" s="2">
        <f>IF(T70="", "", Members!T77)</f>
        <v>0</v>
      </c>
      <c r="U71" s="2">
        <f>IF(U70="", "", Members!U77)</f>
        <v>0</v>
      </c>
    </row>
    <row r="72" spans="1:21" x14ac:dyDescent="0.3">
      <c r="A72" s="3">
        <v>0.72916666666666696</v>
      </c>
      <c r="B72" s="2">
        <f>IF(B71="", "", Members!B78)</f>
        <v>0</v>
      </c>
      <c r="C72" s="2">
        <f>IF(C71="", "", Members!C78)</f>
        <v>1</v>
      </c>
      <c r="D72" s="2">
        <f>IF(D71="", "", Members!D78)</f>
        <v>1</v>
      </c>
      <c r="E72" s="2">
        <f>IF(E71="", "", Members!E78)</f>
        <v>1</v>
      </c>
      <c r="F72" s="2">
        <f>IF(F71="", "", Members!F78)</f>
        <v>1</v>
      </c>
      <c r="G72" s="2">
        <f>IF(G71="", "", Members!G78)</f>
        <v>1</v>
      </c>
      <c r="H72" s="2">
        <f>IF(H71="", "", Members!H78)</f>
        <v>1</v>
      </c>
      <c r="I72" s="2">
        <f>IF(I71="", "", Members!I78)</f>
        <v>1</v>
      </c>
      <c r="J72" s="2">
        <f>IF(J71="", "", Members!J78)</f>
        <v>1</v>
      </c>
      <c r="K72" s="2">
        <f>IF(K71="", "", Members!K78)</f>
        <v>1</v>
      </c>
      <c r="L72" s="2">
        <f>IF(L71="", "", Members!L78)</f>
        <v>1</v>
      </c>
      <c r="M72" s="2">
        <f>IF(M71="", "", Members!M78)</f>
        <v>1</v>
      </c>
      <c r="N72" s="2">
        <f>IF(N71="", "", Members!N78)</f>
        <v>0</v>
      </c>
      <c r="O72" s="2">
        <f>IF(O71="", "", Members!O78)</f>
        <v>0</v>
      </c>
      <c r="P72" s="2">
        <f>IF(P71="", "", Members!P78)</f>
        <v>0</v>
      </c>
      <c r="Q72" s="2">
        <f>IF(Q71="", "", Members!Q78)</f>
        <v>0</v>
      </c>
      <c r="R72" s="2">
        <f>IF(R71="", "", Members!R78)</f>
        <v>0</v>
      </c>
      <c r="S72" s="2">
        <f>IF(S71="", "", Members!S78)</f>
        <v>0</v>
      </c>
      <c r="T72" s="2">
        <f>IF(T71="", "", Members!T78)</f>
        <v>0</v>
      </c>
      <c r="U72" s="2">
        <f>IF(U71="", "", Members!U78)</f>
        <v>0</v>
      </c>
    </row>
    <row r="73" spans="1:21" x14ac:dyDescent="0.3">
      <c r="A73" s="3">
        <v>0.73958333333333304</v>
      </c>
      <c r="B73" s="2">
        <f>IF(B72="", "", Members!B79)</f>
        <v>0</v>
      </c>
      <c r="C73" s="2">
        <f>IF(C72="", "", Members!C79)</f>
        <v>1</v>
      </c>
      <c r="D73" s="2">
        <f>IF(D72="", "", Members!D79)</f>
        <v>1</v>
      </c>
      <c r="E73" s="2">
        <f>IF(E72="", "", Members!E79)</f>
        <v>1</v>
      </c>
      <c r="F73" s="2">
        <f>IF(F72="", "", Members!F79)</f>
        <v>1</v>
      </c>
      <c r="G73" s="2">
        <f>IF(G72="", "", Members!G79)</f>
        <v>1</v>
      </c>
      <c r="H73" s="2">
        <f>IF(H72="", "", Members!H79)</f>
        <v>1</v>
      </c>
      <c r="I73" s="2">
        <f>IF(I72="", "", Members!I79)</f>
        <v>1</v>
      </c>
      <c r="J73" s="2">
        <f>IF(J72="", "", Members!J79)</f>
        <v>1</v>
      </c>
      <c r="K73" s="2">
        <f>IF(K72="", "", Members!K79)</f>
        <v>1</v>
      </c>
      <c r="L73" s="2">
        <f>IF(L72="", "", Members!L79)</f>
        <v>1</v>
      </c>
      <c r="M73" s="2">
        <f>IF(M72="", "", Members!M79)</f>
        <v>1</v>
      </c>
      <c r="N73" s="2">
        <f>IF(N72="", "", Members!N79)</f>
        <v>0</v>
      </c>
      <c r="O73" s="2">
        <f>IF(O72="", "", Members!O79)</f>
        <v>0</v>
      </c>
      <c r="P73" s="2">
        <f>IF(P72="", "", Members!P79)</f>
        <v>0</v>
      </c>
      <c r="Q73" s="2">
        <f>IF(Q72="", "", Members!Q79)</f>
        <v>0</v>
      </c>
      <c r="R73" s="2">
        <f>IF(R72="", "", Members!R79)</f>
        <v>0</v>
      </c>
      <c r="S73" s="2">
        <f>IF(S72="", "", Members!S79)</f>
        <v>0</v>
      </c>
      <c r="T73" s="2">
        <f>IF(T72="", "", Members!T79)</f>
        <v>0</v>
      </c>
      <c r="U73" s="2">
        <f>IF(U72="", "", Members!U79)</f>
        <v>0</v>
      </c>
    </row>
    <row r="74" spans="1:21" x14ac:dyDescent="0.3">
      <c r="A74" s="3">
        <v>0.75</v>
      </c>
      <c r="B74" s="2">
        <f>IF(B73="", "", Members!B80)</f>
        <v>0</v>
      </c>
      <c r="C74" s="2">
        <f>IF(C73="", "", Members!C80)</f>
        <v>1</v>
      </c>
      <c r="D74" s="2">
        <f>IF(D73="", "", Members!D80)</f>
        <v>1</v>
      </c>
      <c r="E74" s="2">
        <f>IF(E73="", "", Members!E80)</f>
        <v>1</v>
      </c>
      <c r="F74" s="2">
        <f>IF(F73="", "", Members!F80)</f>
        <v>1</v>
      </c>
      <c r="G74" s="2">
        <f>IF(G73="", "", Members!G80)</f>
        <v>1</v>
      </c>
      <c r="H74" s="2">
        <f>IF(H73="", "", Members!H80)</f>
        <v>1</v>
      </c>
      <c r="I74" s="2">
        <f>IF(I73="", "", Members!I80)</f>
        <v>1</v>
      </c>
      <c r="J74" s="2">
        <f>IF(J73="", "", Members!J80)</f>
        <v>1</v>
      </c>
      <c r="K74" s="2">
        <f>IF(K73="", "", Members!K80)</f>
        <v>1</v>
      </c>
      <c r="L74" s="2">
        <f>IF(L73="", "", Members!L80)</f>
        <v>1</v>
      </c>
      <c r="M74" s="2">
        <f>IF(M73="", "", Members!M80)</f>
        <v>1</v>
      </c>
      <c r="N74" s="2">
        <f>IF(N73="", "", Members!N80)</f>
        <v>0</v>
      </c>
      <c r="O74" s="2">
        <f>IF(O73="", "", Members!O80)</f>
        <v>0</v>
      </c>
      <c r="P74" s="2">
        <f>IF(P73="", "", Members!P80)</f>
        <v>0</v>
      </c>
      <c r="Q74" s="2">
        <f>IF(Q73="", "", Members!Q80)</f>
        <v>0</v>
      </c>
      <c r="R74" s="2">
        <f>IF(R73="", "", Members!R80)</f>
        <v>0</v>
      </c>
      <c r="S74" s="2">
        <f>IF(S73="", "", Members!S80)</f>
        <v>0</v>
      </c>
      <c r="T74" s="2">
        <f>IF(T73="", "", Members!T80)</f>
        <v>0</v>
      </c>
      <c r="U74" s="2">
        <f>IF(U73="", "", Members!U80)</f>
        <v>0</v>
      </c>
    </row>
    <row r="75" spans="1:21" x14ac:dyDescent="0.3">
      <c r="A75" s="3">
        <v>0.76041666666666696</v>
      </c>
      <c r="B75" s="2">
        <f>IF(B74="", "", Members!B81)</f>
        <v>0</v>
      </c>
      <c r="C75" s="2">
        <f>IF(C74="", "", Members!C81)</f>
        <v>1</v>
      </c>
      <c r="D75" s="2">
        <f>IF(D74="", "", Members!D81)</f>
        <v>1</v>
      </c>
      <c r="E75" s="2">
        <f>IF(E74="", "", Members!E81)</f>
        <v>1</v>
      </c>
      <c r="F75" s="2">
        <f>IF(F74="", "", Members!F81)</f>
        <v>1</v>
      </c>
      <c r="G75" s="2">
        <f>IF(G74="", "", Members!G81)</f>
        <v>1</v>
      </c>
      <c r="H75" s="2">
        <f>IF(H74="", "", Members!H81)</f>
        <v>1</v>
      </c>
      <c r="I75" s="2">
        <f>IF(I74="", "", Members!I81)</f>
        <v>1</v>
      </c>
      <c r="J75" s="2">
        <f>IF(J74="", "", Members!J81)</f>
        <v>1</v>
      </c>
      <c r="K75" s="2">
        <f>IF(K74="", "", Members!K81)</f>
        <v>1</v>
      </c>
      <c r="L75" s="2">
        <f>IF(L74="", "", Members!L81)</f>
        <v>1</v>
      </c>
      <c r="M75" s="2">
        <f>IF(M74="", "", Members!M81)</f>
        <v>1</v>
      </c>
      <c r="N75" s="2">
        <f>IF(N74="", "", Members!N81)</f>
        <v>0</v>
      </c>
      <c r="O75" s="2">
        <f>IF(O74="", "", Members!O81)</f>
        <v>0</v>
      </c>
      <c r="P75" s="2">
        <f>IF(P74="", "", Members!P81)</f>
        <v>0</v>
      </c>
      <c r="Q75" s="2">
        <f>IF(Q74="", "", Members!Q81)</f>
        <v>0</v>
      </c>
      <c r="R75" s="2">
        <f>IF(R74="", "", Members!R81)</f>
        <v>0</v>
      </c>
      <c r="S75" s="2">
        <f>IF(S74="", "", Members!S81)</f>
        <v>0</v>
      </c>
      <c r="T75" s="2">
        <f>IF(T74="", "", Members!T81)</f>
        <v>0</v>
      </c>
      <c r="U75" s="2">
        <f>IF(U74="", "", Members!U81)</f>
        <v>0</v>
      </c>
    </row>
    <row r="76" spans="1:21" x14ac:dyDescent="0.3">
      <c r="A76" s="3">
        <v>0.77083333333333304</v>
      </c>
      <c r="B76" s="2">
        <f>IF(B75="", "", Members!B82)</f>
        <v>0</v>
      </c>
      <c r="C76" s="2">
        <f>IF(C75="", "", Members!C82)</f>
        <v>1</v>
      </c>
      <c r="D76" s="2">
        <f>IF(D75="", "", Members!D82)</f>
        <v>1</v>
      </c>
      <c r="E76" s="2">
        <f>IF(E75="", "", Members!E82)</f>
        <v>1</v>
      </c>
      <c r="F76" s="2">
        <f>IF(F75="", "", Members!F82)</f>
        <v>1</v>
      </c>
      <c r="G76" s="2">
        <f>IF(G75="", "", Members!G82)</f>
        <v>1</v>
      </c>
      <c r="H76" s="2">
        <f>IF(H75="", "", Members!H82)</f>
        <v>1</v>
      </c>
      <c r="I76" s="2">
        <f>IF(I75="", "", Members!I82)</f>
        <v>1</v>
      </c>
      <c r="J76" s="2">
        <f>IF(J75="", "", Members!J82)</f>
        <v>1</v>
      </c>
      <c r="K76" s="2">
        <f>IF(K75="", "", Members!K82)</f>
        <v>1</v>
      </c>
      <c r="L76" s="2">
        <f>IF(L75="", "", Members!L82)</f>
        <v>1</v>
      </c>
      <c r="M76" s="2">
        <f>IF(M75="", "", Members!M82)</f>
        <v>1</v>
      </c>
      <c r="N76" s="2">
        <f>IF(N75="", "", Members!N82)</f>
        <v>0</v>
      </c>
      <c r="O76" s="2">
        <f>IF(O75="", "", Members!O82)</f>
        <v>0</v>
      </c>
      <c r="P76" s="2">
        <f>IF(P75="", "", Members!P82)</f>
        <v>0</v>
      </c>
      <c r="Q76" s="2">
        <f>IF(Q75="", "", Members!Q82)</f>
        <v>0</v>
      </c>
      <c r="R76" s="2">
        <f>IF(R75="", "", Members!R82)</f>
        <v>0</v>
      </c>
      <c r="S76" s="2">
        <f>IF(S75="", "", Members!S82)</f>
        <v>0</v>
      </c>
      <c r="T76" s="2">
        <f>IF(T75="", "", Members!T82)</f>
        <v>0</v>
      </c>
      <c r="U76" s="2">
        <f>IF(U75="", "", Members!U82)</f>
        <v>0</v>
      </c>
    </row>
    <row r="77" spans="1:21" x14ac:dyDescent="0.3">
      <c r="A77" s="3">
        <v>0.78125</v>
      </c>
      <c r="B77" s="2">
        <f>IF(B76="", "", Members!B83)</f>
        <v>0</v>
      </c>
      <c r="C77" s="2">
        <f>IF(C76="", "", Members!C83)</f>
        <v>1</v>
      </c>
      <c r="D77" s="2">
        <f>IF(D76="", "", Members!D83)</f>
        <v>1</v>
      </c>
      <c r="E77" s="2">
        <f>IF(E76="", "", Members!E83)</f>
        <v>1</v>
      </c>
      <c r="F77" s="2">
        <f>IF(F76="", "", Members!F83)</f>
        <v>1</v>
      </c>
      <c r="G77" s="2">
        <f>IF(G76="", "", Members!G83)</f>
        <v>1</v>
      </c>
      <c r="H77" s="2">
        <f>IF(H76="", "", Members!H83)</f>
        <v>1</v>
      </c>
      <c r="I77" s="2">
        <f>IF(I76="", "", Members!I83)</f>
        <v>1</v>
      </c>
      <c r="J77" s="2">
        <f>IF(J76="", "", Members!J83)</f>
        <v>1</v>
      </c>
      <c r="K77" s="2">
        <f>IF(K76="", "", Members!K83)</f>
        <v>1</v>
      </c>
      <c r="L77" s="2">
        <f>IF(L76="", "", Members!L83)</f>
        <v>1</v>
      </c>
      <c r="M77" s="2">
        <f>IF(M76="", "", Members!M83)</f>
        <v>1</v>
      </c>
      <c r="N77" s="2">
        <f>IF(N76="", "", Members!N83)</f>
        <v>0</v>
      </c>
      <c r="O77" s="2">
        <f>IF(O76="", "", Members!O83)</f>
        <v>0</v>
      </c>
      <c r="P77" s="2">
        <f>IF(P76="", "", Members!P83)</f>
        <v>0</v>
      </c>
      <c r="Q77" s="2">
        <f>IF(Q76="", "", Members!Q83)</f>
        <v>0</v>
      </c>
      <c r="R77" s="2">
        <f>IF(R76="", "", Members!R83)</f>
        <v>0</v>
      </c>
      <c r="S77" s="2">
        <f>IF(S76="", "", Members!S83)</f>
        <v>0</v>
      </c>
      <c r="T77" s="2">
        <f>IF(T76="", "", Members!T83)</f>
        <v>0</v>
      </c>
      <c r="U77" s="2">
        <f>IF(U76="", "", Members!U83)</f>
        <v>0</v>
      </c>
    </row>
    <row r="78" spans="1:21" x14ac:dyDescent="0.3">
      <c r="A78" s="3">
        <v>0.79166666666666696</v>
      </c>
      <c r="B78" s="2">
        <f>IF(B77="", "", Members!B84)</f>
        <v>0</v>
      </c>
      <c r="C78" s="2">
        <f>IF(C77="", "", Members!C84)</f>
        <v>0</v>
      </c>
      <c r="D78" s="2">
        <f>IF(D77="", "", Members!D84)</f>
        <v>0</v>
      </c>
      <c r="E78" s="2">
        <f>IF(E77="", "", Members!E84)</f>
        <v>0</v>
      </c>
      <c r="F78" s="2">
        <f>IF(F77="", "", Members!F84)</f>
        <v>0</v>
      </c>
      <c r="G78" s="2">
        <f>IF(G77="", "", Members!G84)</f>
        <v>0</v>
      </c>
      <c r="H78" s="2">
        <f>IF(H77="", "", Members!H84)</f>
        <v>0</v>
      </c>
      <c r="I78" s="2">
        <f>IF(I77="", "", Members!I84)</f>
        <v>0</v>
      </c>
      <c r="J78" s="2">
        <f>IF(J77="", "", Members!J84)</f>
        <v>0</v>
      </c>
      <c r="K78" s="2">
        <f>IF(K77="", "", Members!K84)</f>
        <v>0</v>
      </c>
      <c r="L78" s="2">
        <f>IF(L77="", "", Members!L84)</f>
        <v>0</v>
      </c>
      <c r="M78" s="2">
        <f>IF(M77="", "", Members!M84)</f>
        <v>0</v>
      </c>
      <c r="N78" s="2">
        <f>IF(N77="", "", Members!N84)</f>
        <v>0</v>
      </c>
      <c r="O78" s="2">
        <f>IF(O77="", "", Members!O84)</f>
        <v>0</v>
      </c>
      <c r="P78" s="2">
        <f>IF(P77="", "", Members!P84)</f>
        <v>0</v>
      </c>
      <c r="Q78" s="2">
        <f>IF(Q77="", "", Members!Q84)</f>
        <v>0</v>
      </c>
      <c r="R78" s="2">
        <f>IF(R77="", "", Members!R84)</f>
        <v>0</v>
      </c>
      <c r="S78" s="2">
        <f>IF(S77="", "", Members!S84)</f>
        <v>0</v>
      </c>
      <c r="T78" s="2">
        <f>IF(T77="", "", Members!T84)</f>
        <v>0</v>
      </c>
      <c r="U78" s="2">
        <f>IF(U77="", "", Members!U84)</f>
        <v>0</v>
      </c>
    </row>
    <row r="79" spans="1:21" x14ac:dyDescent="0.3">
      <c r="A79" s="3">
        <v>0.80208333333333304</v>
      </c>
      <c r="B79" s="2">
        <f>IF(B78="", "", Members!B85)</f>
        <v>0</v>
      </c>
      <c r="C79" s="2">
        <f>IF(C78="", "", Members!C85)</f>
        <v>0</v>
      </c>
      <c r="D79" s="2">
        <f>IF(D78="", "", Members!D85)</f>
        <v>0</v>
      </c>
      <c r="E79" s="2">
        <f>IF(E78="", "", Members!E85)</f>
        <v>0</v>
      </c>
      <c r="F79" s="2">
        <f>IF(F78="", "", Members!F85)</f>
        <v>0</v>
      </c>
      <c r="G79" s="2">
        <f>IF(G78="", "", Members!G85)</f>
        <v>0</v>
      </c>
      <c r="H79" s="2">
        <f>IF(H78="", "", Members!H85)</f>
        <v>0</v>
      </c>
      <c r="I79" s="2">
        <f>IF(I78="", "", Members!I85)</f>
        <v>0</v>
      </c>
      <c r="J79" s="2">
        <f>IF(J78="", "", Members!J85)</f>
        <v>0</v>
      </c>
      <c r="K79" s="2">
        <f>IF(K78="", "", Members!K85)</f>
        <v>0</v>
      </c>
      <c r="L79" s="2">
        <f>IF(L78="", "", Members!L85)</f>
        <v>0</v>
      </c>
      <c r="M79" s="2">
        <f>IF(M78="", "", Members!M85)</f>
        <v>0</v>
      </c>
      <c r="N79" s="2">
        <f>IF(N78="", "", Members!N85)</f>
        <v>0</v>
      </c>
      <c r="O79" s="2">
        <f>IF(O78="", "", Members!O85)</f>
        <v>0</v>
      </c>
      <c r="P79" s="2">
        <f>IF(P78="", "", Members!P85)</f>
        <v>0</v>
      </c>
      <c r="Q79" s="2">
        <f>IF(Q78="", "", Members!Q85)</f>
        <v>0</v>
      </c>
      <c r="R79" s="2">
        <f>IF(R78="", "", Members!R85)</f>
        <v>0</v>
      </c>
      <c r="S79" s="2">
        <f>IF(S78="", "", Members!S85)</f>
        <v>0</v>
      </c>
      <c r="T79" s="2">
        <f>IF(T78="", "", Members!T85)</f>
        <v>0</v>
      </c>
      <c r="U79" s="2">
        <f>IF(U78="", "", Members!U85)</f>
        <v>0</v>
      </c>
    </row>
    <row r="80" spans="1:21" x14ac:dyDescent="0.3">
      <c r="A80" s="3">
        <v>0.8125</v>
      </c>
      <c r="B80" s="2">
        <f>IF(B79="", "", Members!B86)</f>
        <v>0</v>
      </c>
      <c r="C80" s="2">
        <f>IF(C79="", "", Members!C86)</f>
        <v>0</v>
      </c>
      <c r="D80" s="2">
        <f>IF(D79="", "", Members!D86)</f>
        <v>0</v>
      </c>
      <c r="E80" s="2">
        <f>IF(E79="", "", Members!E86)</f>
        <v>0</v>
      </c>
      <c r="F80" s="2">
        <f>IF(F79="", "", Members!F86)</f>
        <v>0</v>
      </c>
      <c r="G80" s="2">
        <f>IF(G79="", "", Members!G86)</f>
        <v>0</v>
      </c>
      <c r="H80" s="2">
        <f>IF(H79="", "", Members!H86)</f>
        <v>0</v>
      </c>
      <c r="I80" s="2">
        <f>IF(I79="", "", Members!I86)</f>
        <v>0</v>
      </c>
      <c r="J80" s="2">
        <f>IF(J79="", "", Members!J86)</f>
        <v>0</v>
      </c>
      <c r="K80" s="2">
        <f>IF(K79="", "", Members!K86)</f>
        <v>0</v>
      </c>
      <c r="L80" s="2">
        <f>IF(L79="", "", Members!L86)</f>
        <v>0</v>
      </c>
      <c r="M80" s="2">
        <f>IF(M79="", "", Members!M86)</f>
        <v>0</v>
      </c>
      <c r="N80" s="2">
        <f>IF(N79="", "", Members!N86)</f>
        <v>0</v>
      </c>
      <c r="O80" s="2">
        <f>IF(O79="", "", Members!O86)</f>
        <v>0</v>
      </c>
      <c r="P80" s="2">
        <f>IF(P79="", "", Members!P86)</f>
        <v>0</v>
      </c>
      <c r="Q80" s="2">
        <f>IF(Q79="", "", Members!Q86)</f>
        <v>0</v>
      </c>
      <c r="R80" s="2">
        <f>IF(R79="", "", Members!R86)</f>
        <v>0</v>
      </c>
      <c r="S80" s="2">
        <f>IF(S79="", "", Members!S86)</f>
        <v>0</v>
      </c>
      <c r="T80" s="2">
        <f>IF(T79="", "", Members!T86)</f>
        <v>0</v>
      </c>
      <c r="U80" s="2">
        <f>IF(U79="", "", Members!U86)</f>
        <v>0</v>
      </c>
    </row>
    <row r="81" spans="1:21" x14ac:dyDescent="0.3">
      <c r="A81" s="3">
        <v>0.82291666666666696</v>
      </c>
      <c r="B81" s="2">
        <f>IF(B80="", "", Members!B87)</f>
        <v>0</v>
      </c>
      <c r="C81" s="2">
        <f>IF(C80="", "", Members!C87)</f>
        <v>0</v>
      </c>
      <c r="D81" s="2">
        <f>IF(D80="", "", Members!D87)</f>
        <v>0</v>
      </c>
      <c r="E81" s="2">
        <f>IF(E80="", "", Members!E87)</f>
        <v>0</v>
      </c>
      <c r="F81" s="2">
        <f>IF(F80="", "", Members!F87)</f>
        <v>0</v>
      </c>
      <c r="G81" s="2">
        <f>IF(G80="", "", Members!G87)</f>
        <v>0</v>
      </c>
      <c r="H81" s="2">
        <f>IF(H80="", "", Members!H87)</f>
        <v>0</v>
      </c>
      <c r="I81" s="2">
        <f>IF(I80="", "", Members!I87)</f>
        <v>0</v>
      </c>
      <c r="J81" s="2">
        <f>IF(J80="", "", Members!J87)</f>
        <v>0</v>
      </c>
      <c r="K81" s="2">
        <f>IF(K80="", "", Members!K87)</f>
        <v>0</v>
      </c>
      <c r="L81" s="2">
        <f>IF(L80="", "", Members!L87)</f>
        <v>0</v>
      </c>
      <c r="M81" s="2">
        <f>IF(M80="", "", Members!M87)</f>
        <v>0</v>
      </c>
      <c r="N81" s="2">
        <f>IF(N80="", "", Members!N87)</f>
        <v>0</v>
      </c>
      <c r="O81" s="2">
        <f>IF(O80="", "", Members!O87)</f>
        <v>0</v>
      </c>
      <c r="P81" s="2">
        <f>IF(P80="", "", Members!P87)</f>
        <v>0</v>
      </c>
      <c r="Q81" s="2">
        <f>IF(Q80="", "", Members!Q87)</f>
        <v>0</v>
      </c>
      <c r="R81" s="2">
        <f>IF(R80="", "", Members!R87)</f>
        <v>0</v>
      </c>
      <c r="S81" s="2">
        <f>IF(S80="", "", Members!S87)</f>
        <v>0</v>
      </c>
      <c r="T81" s="2">
        <f>IF(T80="", "", Members!T87)</f>
        <v>0</v>
      </c>
      <c r="U81" s="2">
        <f>IF(U80="", "", Members!U87)</f>
        <v>0</v>
      </c>
    </row>
    <row r="82" spans="1:21" x14ac:dyDescent="0.3">
      <c r="A82" s="3">
        <v>0.83333333333333304</v>
      </c>
      <c r="B82" s="2">
        <f>IF(B81="", "", Members!B88)</f>
        <v>0</v>
      </c>
      <c r="C82" s="2">
        <f>IF(C81="", "", Members!C88)</f>
        <v>0</v>
      </c>
      <c r="D82" s="2">
        <f>IF(D81="", "", Members!D88)</f>
        <v>0</v>
      </c>
      <c r="E82" s="2">
        <f>IF(E81="", "", Members!E88)</f>
        <v>0</v>
      </c>
      <c r="F82" s="2">
        <f>IF(F81="", "", Members!F88)</f>
        <v>0</v>
      </c>
      <c r="G82" s="2">
        <f>IF(G81="", "", Members!G88)</f>
        <v>0</v>
      </c>
      <c r="H82" s="2">
        <f>IF(H81="", "", Members!H88)</f>
        <v>0</v>
      </c>
      <c r="I82" s="2">
        <f>IF(I81="", "", Members!I88)</f>
        <v>0</v>
      </c>
      <c r="J82" s="2">
        <f>IF(J81="", "", Members!J88)</f>
        <v>0</v>
      </c>
      <c r="K82" s="2">
        <f>IF(K81="", "", Members!K88)</f>
        <v>0</v>
      </c>
      <c r="L82" s="2">
        <f>IF(L81="", "", Members!L88)</f>
        <v>0</v>
      </c>
      <c r="M82" s="2">
        <f>IF(M81="", "", Members!M88)</f>
        <v>0</v>
      </c>
      <c r="N82" s="2">
        <f>IF(N81="", "", Members!N88)</f>
        <v>0</v>
      </c>
      <c r="O82" s="2">
        <f>IF(O81="", "", Members!O88)</f>
        <v>0</v>
      </c>
      <c r="P82" s="2">
        <f>IF(P81="", "", Members!P88)</f>
        <v>0</v>
      </c>
      <c r="Q82" s="2">
        <f>IF(Q81="", "", Members!Q88)</f>
        <v>0</v>
      </c>
      <c r="R82" s="2">
        <f>IF(R81="", "", Members!R88)</f>
        <v>0</v>
      </c>
      <c r="S82" s="2">
        <f>IF(S81="", "", Members!S88)</f>
        <v>0</v>
      </c>
      <c r="T82" s="2">
        <f>IF(T81="", "", Members!T88)</f>
        <v>0</v>
      </c>
      <c r="U82" s="2">
        <f>IF(U81="", "", Members!U88)</f>
        <v>0</v>
      </c>
    </row>
    <row r="83" spans="1:21" x14ac:dyDescent="0.3">
      <c r="A83" s="3">
        <v>0.84375</v>
      </c>
      <c r="B83" s="2">
        <f>IF(B82="", "", Members!B89)</f>
        <v>0</v>
      </c>
      <c r="C83" s="2">
        <f>IF(C82="", "", Members!C89)</f>
        <v>0</v>
      </c>
      <c r="D83" s="2">
        <f>IF(D82="", "", Members!D89)</f>
        <v>0</v>
      </c>
      <c r="E83" s="2">
        <f>IF(E82="", "", Members!E89)</f>
        <v>0</v>
      </c>
      <c r="F83" s="2">
        <f>IF(F82="", "", Members!F89)</f>
        <v>0</v>
      </c>
      <c r="G83" s="2">
        <f>IF(G82="", "", Members!G89)</f>
        <v>0</v>
      </c>
      <c r="H83" s="2">
        <f>IF(H82="", "", Members!H89)</f>
        <v>0</v>
      </c>
      <c r="I83" s="2">
        <f>IF(I82="", "", Members!I89)</f>
        <v>0</v>
      </c>
      <c r="J83" s="2">
        <f>IF(J82="", "", Members!J89)</f>
        <v>0</v>
      </c>
      <c r="K83" s="2">
        <f>IF(K82="", "", Members!K89)</f>
        <v>0</v>
      </c>
      <c r="L83" s="2">
        <f>IF(L82="", "", Members!L89)</f>
        <v>0</v>
      </c>
      <c r="M83" s="2">
        <f>IF(M82="", "", Members!M89)</f>
        <v>0</v>
      </c>
      <c r="N83" s="2">
        <f>IF(N82="", "", Members!N89)</f>
        <v>0</v>
      </c>
      <c r="O83" s="2">
        <f>IF(O82="", "", Members!O89)</f>
        <v>0</v>
      </c>
      <c r="P83" s="2">
        <f>IF(P82="", "", Members!P89)</f>
        <v>0</v>
      </c>
      <c r="Q83" s="2">
        <f>IF(Q82="", "", Members!Q89)</f>
        <v>0</v>
      </c>
      <c r="R83" s="2">
        <f>IF(R82="", "", Members!R89)</f>
        <v>0</v>
      </c>
      <c r="S83" s="2">
        <f>IF(S82="", "", Members!S89)</f>
        <v>0</v>
      </c>
      <c r="T83" s="2">
        <f>IF(T82="", "", Members!T89)</f>
        <v>0</v>
      </c>
      <c r="U83" s="2">
        <f>IF(U82="", "", Members!U89)</f>
        <v>0</v>
      </c>
    </row>
    <row r="84" spans="1:21" x14ac:dyDescent="0.3">
      <c r="A84" s="3">
        <v>0.85416666666666696</v>
      </c>
      <c r="B84" s="2">
        <f>IF(B83="", "", Members!B90)</f>
        <v>0</v>
      </c>
      <c r="C84" s="2">
        <f>IF(C83="", "", Members!C90)</f>
        <v>0</v>
      </c>
      <c r="D84" s="2">
        <f>IF(D83="", "", Members!D90)</f>
        <v>0</v>
      </c>
      <c r="E84" s="2">
        <f>IF(E83="", "", Members!E90)</f>
        <v>0</v>
      </c>
      <c r="F84" s="2">
        <f>IF(F83="", "", Members!F90)</f>
        <v>0</v>
      </c>
      <c r="G84" s="2">
        <f>IF(G83="", "", Members!G90)</f>
        <v>0</v>
      </c>
      <c r="H84" s="2">
        <f>IF(H83="", "", Members!H90)</f>
        <v>0</v>
      </c>
      <c r="I84" s="2">
        <f>IF(I83="", "", Members!I90)</f>
        <v>0</v>
      </c>
      <c r="J84" s="2">
        <f>IF(J83="", "", Members!J90)</f>
        <v>0</v>
      </c>
      <c r="K84" s="2">
        <f>IF(K83="", "", Members!K90)</f>
        <v>0</v>
      </c>
      <c r="L84" s="2">
        <f>IF(L83="", "", Members!L90)</f>
        <v>0</v>
      </c>
      <c r="M84" s="2">
        <f>IF(M83="", "", Members!M90)</f>
        <v>0</v>
      </c>
      <c r="N84" s="2">
        <f>IF(N83="", "", Members!N90)</f>
        <v>0</v>
      </c>
      <c r="O84" s="2">
        <f>IF(O83="", "", Members!O90)</f>
        <v>0</v>
      </c>
      <c r="P84" s="2">
        <f>IF(P83="", "", Members!P90)</f>
        <v>0</v>
      </c>
      <c r="Q84" s="2">
        <f>IF(Q83="", "", Members!Q90)</f>
        <v>0</v>
      </c>
      <c r="R84" s="2">
        <f>IF(R83="", "", Members!R90)</f>
        <v>0</v>
      </c>
      <c r="S84" s="2">
        <f>IF(S83="", "", Members!S90)</f>
        <v>0</v>
      </c>
      <c r="T84" s="2">
        <f>IF(T83="", "", Members!T90)</f>
        <v>0</v>
      </c>
      <c r="U84" s="2">
        <f>IF(U83="", "", Members!U90)</f>
        <v>0</v>
      </c>
    </row>
    <row r="85" spans="1:21" x14ac:dyDescent="0.3">
      <c r="A85" s="3">
        <v>0.86458333333333304</v>
      </c>
      <c r="B85" s="2">
        <f>IF(B84="", "", Members!B91)</f>
        <v>0</v>
      </c>
      <c r="C85" s="2">
        <f>IF(C84="", "", Members!C91)</f>
        <v>0</v>
      </c>
      <c r="D85" s="2">
        <f>IF(D84="", "", Members!D91)</f>
        <v>0</v>
      </c>
      <c r="E85" s="2">
        <f>IF(E84="", "", Members!E91)</f>
        <v>0</v>
      </c>
      <c r="F85" s="2">
        <f>IF(F84="", "", Members!F91)</f>
        <v>0</v>
      </c>
      <c r="G85" s="2">
        <f>IF(G84="", "", Members!G91)</f>
        <v>0</v>
      </c>
      <c r="H85" s="2">
        <f>IF(H84="", "", Members!H91)</f>
        <v>0</v>
      </c>
      <c r="I85" s="2">
        <f>IF(I84="", "", Members!I91)</f>
        <v>0</v>
      </c>
      <c r="J85" s="2">
        <f>IF(J84="", "", Members!J91)</f>
        <v>0</v>
      </c>
      <c r="K85" s="2">
        <f>IF(K84="", "", Members!K91)</f>
        <v>0</v>
      </c>
      <c r="L85" s="2">
        <f>IF(L84="", "", Members!L91)</f>
        <v>0</v>
      </c>
      <c r="M85" s="2">
        <f>IF(M84="", "", Members!M91)</f>
        <v>0</v>
      </c>
      <c r="N85" s="2">
        <f>IF(N84="", "", Members!N91)</f>
        <v>0</v>
      </c>
      <c r="O85" s="2">
        <f>IF(O84="", "", Members!O91)</f>
        <v>0</v>
      </c>
      <c r="P85" s="2">
        <f>IF(P84="", "", Members!P91)</f>
        <v>0</v>
      </c>
      <c r="Q85" s="2">
        <f>IF(Q84="", "", Members!Q91)</f>
        <v>0</v>
      </c>
      <c r="R85" s="2">
        <f>IF(R84="", "", Members!R91)</f>
        <v>0</v>
      </c>
      <c r="S85" s="2">
        <f>IF(S84="", "", Members!S91)</f>
        <v>0</v>
      </c>
      <c r="T85" s="2">
        <f>IF(T84="", "", Members!T91)</f>
        <v>0</v>
      </c>
      <c r="U85" s="2">
        <f>IF(U84="", "", Members!U91)</f>
        <v>0</v>
      </c>
    </row>
    <row r="86" spans="1:21" x14ac:dyDescent="0.3">
      <c r="A86" s="3">
        <v>0.875</v>
      </c>
      <c r="B86" s="2">
        <f>IF(B85="", "", Members!B92)</f>
        <v>0</v>
      </c>
      <c r="C86" s="2">
        <f>IF(C85="", "", Members!C92)</f>
        <v>0</v>
      </c>
      <c r="D86" s="2">
        <f>IF(D85="", "", Members!D92)</f>
        <v>0</v>
      </c>
      <c r="E86" s="2">
        <f>IF(E85="", "", Members!E92)</f>
        <v>0</v>
      </c>
      <c r="F86" s="2">
        <f>IF(F85="", "", Members!F92)</f>
        <v>0</v>
      </c>
      <c r="G86" s="2">
        <f>IF(G85="", "", Members!G92)</f>
        <v>0</v>
      </c>
      <c r="H86" s="2">
        <f>IF(H85="", "", Members!H92)</f>
        <v>0</v>
      </c>
      <c r="I86" s="2">
        <f>IF(I85="", "", Members!I92)</f>
        <v>0</v>
      </c>
      <c r="J86" s="2">
        <f>IF(J85="", "", Members!J92)</f>
        <v>0</v>
      </c>
      <c r="K86" s="2">
        <f>IF(K85="", "", Members!K92)</f>
        <v>0</v>
      </c>
      <c r="L86" s="2">
        <f>IF(L85="", "", Members!L92)</f>
        <v>0</v>
      </c>
      <c r="M86" s="2">
        <f>IF(M85="", "", Members!M92)</f>
        <v>0</v>
      </c>
      <c r="N86" s="2">
        <f>IF(N85="", "", Members!N92)</f>
        <v>0</v>
      </c>
      <c r="O86" s="2">
        <f>IF(O85="", "", Members!O92)</f>
        <v>0</v>
      </c>
      <c r="P86" s="2">
        <f>IF(P85="", "", Members!P92)</f>
        <v>0</v>
      </c>
      <c r="Q86" s="2">
        <f>IF(Q85="", "", Members!Q92)</f>
        <v>0</v>
      </c>
      <c r="R86" s="2">
        <f>IF(R85="", "", Members!R92)</f>
        <v>0</v>
      </c>
      <c r="S86" s="2">
        <f>IF(S85="", "", Members!S92)</f>
        <v>0</v>
      </c>
      <c r="T86" s="2">
        <f>IF(T85="", "", Members!T92)</f>
        <v>0</v>
      </c>
      <c r="U86" s="2">
        <f>IF(U85="", "", Members!U92)</f>
        <v>0</v>
      </c>
    </row>
    <row r="87" spans="1:21" x14ac:dyDescent="0.3">
      <c r="A87" s="3">
        <v>0.88541666666666696</v>
      </c>
      <c r="B87" s="2">
        <f>IF(B86="", "", Members!B93)</f>
        <v>0</v>
      </c>
      <c r="C87" s="2">
        <f>IF(C86="", "", Members!C93)</f>
        <v>0</v>
      </c>
      <c r="D87" s="2">
        <f>IF(D86="", "", Members!D93)</f>
        <v>0</v>
      </c>
      <c r="E87" s="2">
        <f>IF(E86="", "", Members!E93)</f>
        <v>0</v>
      </c>
      <c r="F87" s="2">
        <f>IF(F86="", "", Members!F93)</f>
        <v>0</v>
      </c>
      <c r="G87" s="2">
        <f>IF(G86="", "", Members!G93)</f>
        <v>0</v>
      </c>
      <c r="H87" s="2">
        <f>IF(H86="", "", Members!H93)</f>
        <v>0</v>
      </c>
      <c r="I87" s="2">
        <f>IF(I86="", "", Members!I93)</f>
        <v>0</v>
      </c>
      <c r="J87" s="2">
        <f>IF(J86="", "", Members!J93)</f>
        <v>0</v>
      </c>
      <c r="K87" s="2">
        <f>IF(K86="", "", Members!K93)</f>
        <v>0</v>
      </c>
      <c r="L87" s="2">
        <f>IF(L86="", "", Members!L93)</f>
        <v>0</v>
      </c>
      <c r="M87" s="2">
        <f>IF(M86="", "", Members!M93)</f>
        <v>0</v>
      </c>
      <c r="N87" s="2">
        <f>IF(N86="", "", Members!N93)</f>
        <v>0</v>
      </c>
      <c r="O87" s="2">
        <f>IF(O86="", "", Members!O93)</f>
        <v>0</v>
      </c>
      <c r="P87" s="2">
        <f>IF(P86="", "", Members!P93)</f>
        <v>0</v>
      </c>
      <c r="Q87" s="2">
        <f>IF(Q86="", "", Members!Q93)</f>
        <v>0</v>
      </c>
      <c r="R87" s="2">
        <f>IF(R86="", "", Members!R93)</f>
        <v>0</v>
      </c>
      <c r="S87" s="2">
        <f>IF(S86="", "", Members!S93)</f>
        <v>0</v>
      </c>
      <c r="T87" s="2">
        <f>IF(T86="", "", Members!T93)</f>
        <v>0</v>
      </c>
      <c r="U87" s="2">
        <f>IF(U86="", "", Members!U93)</f>
        <v>0</v>
      </c>
    </row>
    <row r="88" spans="1:21" x14ac:dyDescent="0.3">
      <c r="A88" s="3">
        <v>0.89583333333333304</v>
      </c>
      <c r="B88" s="2">
        <f>IF(B87="", "", Members!B94)</f>
        <v>0</v>
      </c>
      <c r="C88" s="2">
        <f>IF(C87="", "", Members!C94)</f>
        <v>0</v>
      </c>
      <c r="D88" s="2">
        <f>IF(D87="", "", Members!D94)</f>
        <v>0</v>
      </c>
      <c r="E88" s="2">
        <f>IF(E87="", "", Members!E94)</f>
        <v>0</v>
      </c>
      <c r="F88" s="2">
        <f>IF(F87="", "", Members!F94)</f>
        <v>0</v>
      </c>
      <c r="G88" s="2">
        <f>IF(G87="", "", Members!G94)</f>
        <v>0</v>
      </c>
      <c r="H88" s="2">
        <f>IF(H87="", "", Members!H94)</f>
        <v>0</v>
      </c>
      <c r="I88" s="2">
        <f>IF(I87="", "", Members!I94)</f>
        <v>0</v>
      </c>
      <c r="J88" s="2">
        <f>IF(J87="", "", Members!J94)</f>
        <v>0</v>
      </c>
      <c r="K88" s="2">
        <f>IF(K87="", "", Members!K94)</f>
        <v>0</v>
      </c>
      <c r="L88" s="2">
        <f>IF(L87="", "", Members!L94)</f>
        <v>0</v>
      </c>
      <c r="M88" s="2">
        <f>IF(M87="", "", Members!M94)</f>
        <v>0</v>
      </c>
      <c r="N88" s="2">
        <f>IF(N87="", "", Members!N94)</f>
        <v>0</v>
      </c>
      <c r="O88" s="2">
        <f>IF(O87="", "", Members!O94)</f>
        <v>0</v>
      </c>
      <c r="P88" s="2">
        <f>IF(P87="", "", Members!P94)</f>
        <v>0</v>
      </c>
      <c r="Q88" s="2">
        <f>IF(Q87="", "", Members!Q94)</f>
        <v>0</v>
      </c>
      <c r="R88" s="2">
        <f>IF(R87="", "", Members!R94)</f>
        <v>0</v>
      </c>
      <c r="S88" s="2">
        <f>IF(S87="", "", Members!S94)</f>
        <v>0</v>
      </c>
      <c r="T88" s="2">
        <f>IF(T87="", "", Members!T94)</f>
        <v>0</v>
      </c>
      <c r="U88" s="2">
        <f>IF(U87="", "", Members!U94)</f>
        <v>0</v>
      </c>
    </row>
    <row r="89" spans="1:21" x14ac:dyDescent="0.3">
      <c r="A89" s="3">
        <v>0.90625</v>
      </c>
      <c r="B89" s="2">
        <f>IF(B88="", "", Members!B95)</f>
        <v>0</v>
      </c>
      <c r="C89" s="2">
        <f>IF(C88="", "", Members!C95)</f>
        <v>0</v>
      </c>
      <c r="D89" s="2">
        <f>IF(D88="", "", Members!D95)</f>
        <v>0</v>
      </c>
      <c r="E89" s="2">
        <f>IF(E88="", "", Members!E95)</f>
        <v>0</v>
      </c>
      <c r="F89" s="2">
        <f>IF(F88="", "", Members!F95)</f>
        <v>0</v>
      </c>
      <c r="G89" s="2">
        <f>IF(G88="", "", Members!G95)</f>
        <v>0</v>
      </c>
      <c r="H89" s="2">
        <f>IF(H88="", "", Members!H95)</f>
        <v>0</v>
      </c>
      <c r="I89" s="2">
        <f>IF(I88="", "", Members!I95)</f>
        <v>0</v>
      </c>
      <c r="J89" s="2">
        <f>IF(J88="", "", Members!J95)</f>
        <v>0</v>
      </c>
      <c r="K89" s="2">
        <f>IF(K88="", "", Members!K95)</f>
        <v>0</v>
      </c>
      <c r="L89" s="2">
        <f>IF(L88="", "", Members!L95)</f>
        <v>0</v>
      </c>
      <c r="M89" s="2">
        <f>IF(M88="", "", Members!M95)</f>
        <v>0</v>
      </c>
      <c r="N89" s="2">
        <f>IF(N88="", "", Members!N95)</f>
        <v>0</v>
      </c>
      <c r="O89" s="2">
        <f>IF(O88="", "", Members!O95)</f>
        <v>0</v>
      </c>
      <c r="P89" s="2">
        <f>IF(P88="", "", Members!P95)</f>
        <v>0</v>
      </c>
      <c r="Q89" s="2">
        <f>IF(Q88="", "", Members!Q95)</f>
        <v>0</v>
      </c>
      <c r="R89" s="2">
        <f>IF(R88="", "", Members!R95)</f>
        <v>0</v>
      </c>
      <c r="S89" s="2">
        <f>IF(S88="", "", Members!S95)</f>
        <v>0</v>
      </c>
      <c r="T89" s="2">
        <f>IF(T88="", "", Members!T95)</f>
        <v>0</v>
      </c>
      <c r="U89" s="2">
        <f>IF(U88="", "", Members!U95)</f>
        <v>0</v>
      </c>
    </row>
    <row r="90" spans="1:21" x14ac:dyDescent="0.3">
      <c r="A90" s="3">
        <v>0.91666666666666696</v>
      </c>
      <c r="B90" s="2">
        <f>IF(B89="", "", Members!B96)</f>
        <v>0</v>
      </c>
      <c r="C90" s="2">
        <f>IF(C89="", "", Members!C96)</f>
        <v>0</v>
      </c>
      <c r="D90" s="2">
        <f>IF(D89="", "", Members!D96)</f>
        <v>0</v>
      </c>
      <c r="E90" s="2">
        <f>IF(E89="", "", Members!E96)</f>
        <v>0</v>
      </c>
      <c r="F90" s="2">
        <f>IF(F89="", "", Members!F96)</f>
        <v>0</v>
      </c>
      <c r="G90" s="2">
        <f>IF(G89="", "", Members!G96)</f>
        <v>0</v>
      </c>
      <c r="H90" s="2">
        <f>IF(H89="", "", Members!H96)</f>
        <v>0</v>
      </c>
      <c r="I90" s="2">
        <f>IF(I89="", "", Members!I96)</f>
        <v>0</v>
      </c>
      <c r="J90" s="2">
        <f>IF(J89="", "", Members!J96)</f>
        <v>0</v>
      </c>
      <c r="K90" s="2">
        <f>IF(K89="", "", Members!K96)</f>
        <v>0</v>
      </c>
      <c r="L90" s="2">
        <f>IF(L89="", "", Members!L96)</f>
        <v>0</v>
      </c>
      <c r="M90" s="2">
        <f>IF(M89="", "", Members!M96)</f>
        <v>0</v>
      </c>
      <c r="N90" s="2">
        <f>IF(N89="", "", Members!N96)</f>
        <v>0</v>
      </c>
      <c r="O90" s="2">
        <f>IF(O89="", "", Members!O96)</f>
        <v>0</v>
      </c>
      <c r="P90" s="2">
        <f>IF(P89="", "", Members!P96)</f>
        <v>0</v>
      </c>
      <c r="Q90" s="2">
        <f>IF(Q89="", "", Members!Q96)</f>
        <v>0</v>
      </c>
      <c r="R90" s="2">
        <f>IF(R89="", "", Members!R96)</f>
        <v>0</v>
      </c>
      <c r="S90" s="2">
        <f>IF(S89="", "", Members!S96)</f>
        <v>0</v>
      </c>
      <c r="T90" s="2">
        <f>IF(T89="", "", Members!T96)</f>
        <v>0</v>
      </c>
      <c r="U90" s="2">
        <f>IF(U89="", "", Members!U96)</f>
        <v>0</v>
      </c>
    </row>
    <row r="91" spans="1:21" x14ac:dyDescent="0.3">
      <c r="A91" s="3">
        <v>0.92708333333333304</v>
      </c>
      <c r="B91" s="2">
        <f>IF(B90="", "", Members!B97)</f>
        <v>0</v>
      </c>
      <c r="C91" s="2">
        <f>IF(C90="", "", Members!C97)</f>
        <v>0</v>
      </c>
      <c r="D91" s="2">
        <f>IF(D90="", "", Members!D97)</f>
        <v>0</v>
      </c>
      <c r="E91" s="2">
        <f>IF(E90="", "", Members!E97)</f>
        <v>0</v>
      </c>
      <c r="F91" s="2">
        <f>IF(F90="", "", Members!F97)</f>
        <v>0</v>
      </c>
      <c r="G91" s="2">
        <f>IF(G90="", "", Members!G97)</f>
        <v>0</v>
      </c>
      <c r="H91" s="2">
        <f>IF(H90="", "", Members!H97)</f>
        <v>0</v>
      </c>
      <c r="I91" s="2">
        <f>IF(I90="", "", Members!I97)</f>
        <v>0</v>
      </c>
      <c r="J91" s="2">
        <f>IF(J90="", "", Members!J97)</f>
        <v>0</v>
      </c>
      <c r="K91" s="2">
        <f>IF(K90="", "", Members!K97)</f>
        <v>0</v>
      </c>
      <c r="L91" s="2">
        <f>IF(L90="", "", Members!L97)</f>
        <v>0</v>
      </c>
      <c r="M91" s="2">
        <f>IF(M90="", "", Members!M97)</f>
        <v>0</v>
      </c>
      <c r="N91" s="2">
        <f>IF(N90="", "", Members!N97)</f>
        <v>0</v>
      </c>
      <c r="O91" s="2">
        <f>IF(O90="", "", Members!O97)</f>
        <v>0</v>
      </c>
      <c r="P91" s="2">
        <f>IF(P90="", "", Members!P97)</f>
        <v>0</v>
      </c>
      <c r="Q91" s="2">
        <f>IF(Q90="", "", Members!Q97)</f>
        <v>0</v>
      </c>
      <c r="R91" s="2">
        <f>IF(R90="", "", Members!R97)</f>
        <v>0</v>
      </c>
      <c r="S91" s="2">
        <f>IF(S90="", "", Members!S97)</f>
        <v>0</v>
      </c>
      <c r="T91" s="2">
        <f>IF(T90="", "", Members!T97)</f>
        <v>0</v>
      </c>
      <c r="U91" s="2">
        <f>IF(U90="", "", Members!U97)</f>
        <v>0</v>
      </c>
    </row>
    <row r="92" spans="1:21" x14ac:dyDescent="0.3">
      <c r="A92" s="3">
        <v>0.9375</v>
      </c>
      <c r="B92" s="2">
        <f>IF(B91="", "", Members!B98)</f>
        <v>0</v>
      </c>
      <c r="C92" s="2">
        <f>IF(C91="", "", Members!C98)</f>
        <v>0</v>
      </c>
      <c r="D92" s="2">
        <f>IF(D91="", "", Members!D98)</f>
        <v>0</v>
      </c>
      <c r="E92" s="2">
        <f>IF(E91="", "", Members!E98)</f>
        <v>0</v>
      </c>
      <c r="F92" s="2">
        <f>IF(F91="", "", Members!F98)</f>
        <v>0</v>
      </c>
      <c r="G92" s="2">
        <f>IF(G91="", "", Members!G98)</f>
        <v>0</v>
      </c>
      <c r="H92" s="2">
        <f>IF(H91="", "", Members!H98)</f>
        <v>0</v>
      </c>
      <c r="I92" s="2">
        <f>IF(I91="", "", Members!I98)</f>
        <v>0</v>
      </c>
      <c r="J92" s="2">
        <f>IF(J91="", "", Members!J98)</f>
        <v>0</v>
      </c>
      <c r="K92" s="2">
        <f>IF(K91="", "", Members!K98)</f>
        <v>0</v>
      </c>
      <c r="L92" s="2">
        <f>IF(L91="", "", Members!L98)</f>
        <v>0</v>
      </c>
      <c r="M92" s="2">
        <f>IF(M91="", "", Members!M98)</f>
        <v>0</v>
      </c>
      <c r="N92" s="2">
        <f>IF(N91="", "", Members!N98)</f>
        <v>0</v>
      </c>
      <c r="O92" s="2">
        <f>IF(O91="", "", Members!O98)</f>
        <v>0</v>
      </c>
      <c r="P92" s="2">
        <f>IF(P91="", "", Members!P98)</f>
        <v>0</v>
      </c>
      <c r="Q92" s="2">
        <f>IF(Q91="", "", Members!Q98)</f>
        <v>0</v>
      </c>
      <c r="R92" s="2">
        <f>IF(R91="", "", Members!R98)</f>
        <v>0</v>
      </c>
      <c r="S92" s="2">
        <f>IF(S91="", "", Members!S98)</f>
        <v>0</v>
      </c>
      <c r="T92" s="2">
        <f>IF(T91="", "", Members!T98)</f>
        <v>0</v>
      </c>
      <c r="U92" s="2">
        <f>IF(U91="", "", Members!U98)</f>
        <v>0</v>
      </c>
    </row>
    <row r="93" spans="1:21" x14ac:dyDescent="0.3">
      <c r="A93" s="3">
        <v>0.94791666666666696</v>
      </c>
      <c r="B93" s="2">
        <f>IF(B92="", "", Members!B99)</f>
        <v>0</v>
      </c>
      <c r="C93" s="2">
        <f>IF(C92="", "", Members!C99)</f>
        <v>0</v>
      </c>
      <c r="D93" s="2">
        <f>IF(D92="", "", Members!D99)</f>
        <v>0</v>
      </c>
      <c r="E93" s="2">
        <f>IF(E92="", "", Members!E99)</f>
        <v>0</v>
      </c>
      <c r="F93" s="2">
        <f>IF(F92="", "", Members!F99)</f>
        <v>0</v>
      </c>
      <c r="G93" s="2">
        <f>IF(G92="", "", Members!G99)</f>
        <v>0</v>
      </c>
      <c r="H93" s="2">
        <f>IF(H92="", "", Members!H99)</f>
        <v>0</v>
      </c>
      <c r="I93" s="2">
        <f>IF(I92="", "", Members!I99)</f>
        <v>0</v>
      </c>
      <c r="J93" s="2">
        <f>IF(J92="", "", Members!J99)</f>
        <v>0</v>
      </c>
      <c r="K93" s="2">
        <f>IF(K92="", "", Members!K99)</f>
        <v>0</v>
      </c>
      <c r="L93" s="2">
        <f>IF(L92="", "", Members!L99)</f>
        <v>0</v>
      </c>
      <c r="M93" s="2">
        <f>IF(M92="", "", Members!M99)</f>
        <v>0</v>
      </c>
      <c r="N93" s="2">
        <f>IF(N92="", "", Members!N99)</f>
        <v>0</v>
      </c>
      <c r="O93" s="2">
        <f>IF(O92="", "", Members!O99)</f>
        <v>0</v>
      </c>
      <c r="P93" s="2">
        <f>IF(P92="", "", Members!P99)</f>
        <v>0</v>
      </c>
      <c r="Q93" s="2">
        <f>IF(Q92="", "", Members!Q99)</f>
        <v>0</v>
      </c>
      <c r="R93" s="2">
        <f>IF(R92="", "", Members!R99)</f>
        <v>0</v>
      </c>
      <c r="S93" s="2">
        <f>IF(S92="", "", Members!S99)</f>
        <v>0</v>
      </c>
      <c r="T93" s="2">
        <f>IF(T92="", "", Members!T99)</f>
        <v>0</v>
      </c>
      <c r="U93" s="2">
        <f>IF(U92="", "", Members!U99)</f>
        <v>0</v>
      </c>
    </row>
    <row r="94" spans="1:21" x14ac:dyDescent="0.3">
      <c r="A94" s="3">
        <v>0.95833333333333304</v>
      </c>
      <c r="B94" s="2">
        <f>IF(B93="", "", Members!B100)</f>
        <v>0</v>
      </c>
      <c r="C94" s="2">
        <f>IF(C93="", "", Members!C100)</f>
        <v>0</v>
      </c>
      <c r="D94" s="2">
        <f>IF(D93="", "", Members!D100)</f>
        <v>0</v>
      </c>
      <c r="E94" s="2">
        <f>IF(E93="", "", Members!E100)</f>
        <v>0</v>
      </c>
      <c r="F94" s="2">
        <f>IF(F93="", "", Members!F100)</f>
        <v>0</v>
      </c>
      <c r="G94" s="2">
        <f>IF(G93="", "", Members!G100)</f>
        <v>0</v>
      </c>
      <c r="H94" s="2">
        <f>IF(H93="", "", Members!H100)</f>
        <v>0</v>
      </c>
      <c r="I94" s="2">
        <f>IF(I93="", "", Members!I100)</f>
        <v>0</v>
      </c>
      <c r="J94" s="2">
        <f>IF(J93="", "", Members!J100)</f>
        <v>0</v>
      </c>
      <c r="K94" s="2">
        <f>IF(K93="", "", Members!K100)</f>
        <v>0</v>
      </c>
      <c r="L94" s="2">
        <f>IF(L93="", "", Members!L100)</f>
        <v>0</v>
      </c>
      <c r="M94" s="2">
        <f>IF(M93="", "", Members!M100)</f>
        <v>0</v>
      </c>
      <c r="N94" s="2">
        <f>IF(N93="", "", Members!N100)</f>
        <v>0</v>
      </c>
      <c r="O94" s="2">
        <f>IF(O93="", "", Members!O100)</f>
        <v>0</v>
      </c>
      <c r="P94" s="2">
        <f>IF(P93="", "", Members!P100)</f>
        <v>0</v>
      </c>
      <c r="Q94" s="2">
        <f>IF(Q93="", "", Members!Q100)</f>
        <v>0</v>
      </c>
      <c r="R94" s="2">
        <f>IF(R93="", "", Members!R100)</f>
        <v>0</v>
      </c>
      <c r="S94" s="2">
        <f>IF(S93="", "", Members!S100)</f>
        <v>0</v>
      </c>
      <c r="T94" s="2">
        <f>IF(T93="", "", Members!T100)</f>
        <v>0</v>
      </c>
      <c r="U94" s="2">
        <f>IF(U93="", "", Members!U100)</f>
        <v>0</v>
      </c>
    </row>
    <row r="95" spans="1:21" x14ac:dyDescent="0.3">
      <c r="A95" s="3">
        <v>0.96875</v>
      </c>
      <c r="B95" s="2">
        <f>IF(B94="", "", Members!B101)</f>
        <v>0</v>
      </c>
      <c r="C95" s="2">
        <f>IF(C94="", "", Members!C101)</f>
        <v>0</v>
      </c>
      <c r="D95" s="2">
        <f>IF(D94="", "", Members!D101)</f>
        <v>0</v>
      </c>
      <c r="E95" s="2">
        <f>IF(E94="", "", Members!E101)</f>
        <v>0</v>
      </c>
      <c r="F95" s="2">
        <f>IF(F94="", "", Members!F101)</f>
        <v>0</v>
      </c>
      <c r="G95" s="2">
        <f>IF(G94="", "", Members!G101)</f>
        <v>0</v>
      </c>
      <c r="H95" s="2">
        <f>IF(H94="", "", Members!H101)</f>
        <v>0</v>
      </c>
      <c r="I95" s="2">
        <f>IF(I94="", "", Members!I101)</f>
        <v>0</v>
      </c>
      <c r="J95" s="2">
        <f>IF(J94="", "", Members!J101)</f>
        <v>0</v>
      </c>
      <c r="K95" s="2">
        <f>IF(K94="", "", Members!K101)</f>
        <v>0</v>
      </c>
      <c r="L95" s="2">
        <f>IF(L94="", "", Members!L101)</f>
        <v>0</v>
      </c>
      <c r="M95" s="2">
        <f>IF(M94="", "", Members!M101)</f>
        <v>0</v>
      </c>
      <c r="N95" s="2">
        <f>IF(N94="", "", Members!N101)</f>
        <v>0</v>
      </c>
      <c r="O95" s="2">
        <f>IF(O94="", "", Members!O101)</f>
        <v>0</v>
      </c>
      <c r="P95" s="2">
        <f>IF(P94="", "", Members!P101)</f>
        <v>0</v>
      </c>
      <c r="Q95" s="2">
        <f>IF(Q94="", "", Members!Q101)</f>
        <v>0</v>
      </c>
      <c r="R95" s="2">
        <f>IF(R94="", "", Members!R101)</f>
        <v>0</v>
      </c>
      <c r="S95" s="2">
        <f>IF(S94="", "", Members!S101)</f>
        <v>0</v>
      </c>
      <c r="T95" s="2">
        <f>IF(T94="", "", Members!T101)</f>
        <v>0</v>
      </c>
      <c r="U95" s="2">
        <f>IF(U94="", "", Members!U101)</f>
        <v>0</v>
      </c>
    </row>
    <row r="96" spans="1:21" x14ac:dyDescent="0.3">
      <c r="A96" s="3">
        <v>0.97916666666666696</v>
      </c>
      <c r="B96" s="2">
        <f>IF(B95="", "", Members!B102)</f>
        <v>0</v>
      </c>
      <c r="C96" s="2">
        <f>IF(C95="", "", Members!C102)</f>
        <v>0</v>
      </c>
      <c r="D96" s="2">
        <f>IF(D95="", "", Members!D102)</f>
        <v>0</v>
      </c>
      <c r="E96" s="2">
        <f>IF(E95="", "", Members!E102)</f>
        <v>0</v>
      </c>
      <c r="F96" s="2">
        <f>IF(F95="", "", Members!F102)</f>
        <v>0</v>
      </c>
      <c r="G96" s="2">
        <f>IF(G95="", "", Members!G102)</f>
        <v>0</v>
      </c>
      <c r="H96" s="2">
        <f>IF(H95="", "", Members!H102)</f>
        <v>0</v>
      </c>
      <c r="I96" s="2">
        <f>IF(I95="", "", Members!I102)</f>
        <v>0</v>
      </c>
      <c r="J96" s="2">
        <f>IF(J95="", "", Members!J102)</f>
        <v>0</v>
      </c>
      <c r="K96" s="2">
        <f>IF(K95="", "", Members!K102)</f>
        <v>0</v>
      </c>
      <c r="L96" s="2">
        <f>IF(L95="", "", Members!L102)</f>
        <v>0</v>
      </c>
      <c r="M96" s="2">
        <f>IF(M95="", "", Members!M102)</f>
        <v>0</v>
      </c>
      <c r="N96" s="2">
        <f>IF(N95="", "", Members!N102)</f>
        <v>0</v>
      </c>
      <c r="O96" s="2">
        <f>IF(O95="", "", Members!O102)</f>
        <v>0</v>
      </c>
      <c r="P96" s="2">
        <f>IF(P95="", "", Members!P102)</f>
        <v>0</v>
      </c>
      <c r="Q96" s="2">
        <f>IF(Q95="", "", Members!Q102)</f>
        <v>0</v>
      </c>
      <c r="R96" s="2">
        <f>IF(R95="", "", Members!R102)</f>
        <v>0</v>
      </c>
      <c r="S96" s="2">
        <f>IF(S95="", "", Members!S102)</f>
        <v>0</v>
      </c>
      <c r="T96" s="2">
        <f>IF(T95="", "", Members!T102)</f>
        <v>0</v>
      </c>
      <c r="U96" s="2">
        <f>IF(U95="", "", Members!U102)</f>
        <v>0</v>
      </c>
    </row>
    <row r="97" spans="1:21" x14ac:dyDescent="0.3">
      <c r="A97" s="3">
        <v>0.98958333333333304</v>
      </c>
      <c r="B97" s="2">
        <f>IF(B96="", "", Members!B103)</f>
        <v>0</v>
      </c>
      <c r="C97" s="2">
        <f>IF(C96="", "", Members!C103)</f>
        <v>0</v>
      </c>
      <c r="D97" s="2">
        <f>IF(D96="", "", Members!D103)</f>
        <v>0</v>
      </c>
      <c r="E97" s="2">
        <f>IF(E96="", "", Members!E103)</f>
        <v>0</v>
      </c>
      <c r="F97" s="2">
        <f>IF(F96="", "", Members!F103)</f>
        <v>0</v>
      </c>
      <c r="G97" s="2">
        <f>IF(G96="", "", Members!G103)</f>
        <v>0</v>
      </c>
      <c r="H97" s="2">
        <f>IF(H96="", "", Members!H103)</f>
        <v>0</v>
      </c>
      <c r="I97" s="2">
        <f>IF(I96="", "", Members!I103)</f>
        <v>0</v>
      </c>
      <c r="J97" s="2">
        <f>IF(J96="", "", Members!J103)</f>
        <v>0</v>
      </c>
      <c r="K97" s="2">
        <f>IF(K96="", "", Members!K103)</f>
        <v>0</v>
      </c>
      <c r="L97" s="2">
        <f>IF(L96="", "", Members!L103)</f>
        <v>0</v>
      </c>
      <c r="M97" s="2">
        <f>IF(M96="", "", Members!M103)</f>
        <v>0</v>
      </c>
      <c r="N97" s="2">
        <f>IF(N96="", "", Members!N103)</f>
        <v>0</v>
      </c>
      <c r="O97" s="2">
        <f>IF(O96="", "", Members!O103)</f>
        <v>0</v>
      </c>
      <c r="P97" s="2">
        <f>IF(P96="", "", Members!P103)</f>
        <v>0</v>
      </c>
      <c r="Q97" s="2">
        <f>IF(Q96="", "", Members!Q103)</f>
        <v>0</v>
      </c>
      <c r="R97" s="2">
        <f>IF(R96="", "", Members!R103)</f>
        <v>0</v>
      </c>
      <c r="S97" s="2">
        <f>IF(S96="", "", Members!S103)</f>
        <v>0</v>
      </c>
      <c r="T97" s="2">
        <f>IF(T96="", "", Members!T103)</f>
        <v>0</v>
      </c>
      <c r="U97" s="2">
        <f>IF(U96="", "", Members!U103)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95A7-C245-44D2-85F2-9B0CE393E057}">
  <sheetPr codeName="Sheet3"/>
  <dimension ref="A1:Y19"/>
  <sheetViews>
    <sheetView tabSelected="1" zoomScale="85" zoomScaleNormal="85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Z18" sqref="Z18"/>
    </sheetView>
  </sheetViews>
  <sheetFormatPr defaultColWidth="8.88671875" defaultRowHeight="14.4" x14ac:dyDescent="0.3"/>
  <cols>
    <col min="1" max="1" width="7.77734375" style="24" customWidth="1"/>
    <col min="2" max="2" width="32.109375" style="23" customWidth="1"/>
    <col min="3" max="3" width="32.109375" style="23" hidden="1" customWidth="1"/>
    <col min="4" max="8" width="26.109375" style="23" hidden="1" customWidth="1"/>
    <col min="9" max="9" width="48.44140625" style="23" hidden="1" customWidth="1"/>
    <col min="10" max="10" width="17.6640625" style="24" customWidth="1"/>
    <col min="11" max="11" width="19.33203125" style="24" hidden="1" customWidth="1"/>
    <col min="12" max="12" width="12" style="24" customWidth="1"/>
    <col min="13" max="13" width="0" style="24" hidden="1" customWidth="1"/>
    <col min="14" max="14" width="13.6640625" style="24" customWidth="1"/>
    <col min="15" max="15" width="13.6640625" style="33" customWidth="1"/>
    <col min="16" max="24" width="13.6640625" style="24" customWidth="1"/>
    <col min="25" max="16384" width="8.88671875" style="24"/>
  </cols>
  <sheetData>
    <row r="1" spans="1:25" s="31" customFormat="1" ht="16.8" customHeight="1" x14ac:dyDescent="0.3">
      <c r="A1" s="38" t="s">
        <v>18</v>
      </c>
      <c r="B1" s="38" t="s">
        <v>19</v>
      </c>
      <c r="C1" s="39" t="s">
        <v>21</v>
      </c>
      <c r="D1" s="38" t="s">
        <v>36</v>
      </c>
      <c r="E1" s="38"/>
      <c r="F1" s="38"/>
      <c r="G1" s="38"/>
      <c r="H1" s="38"/>
      <c r="I1" s="38" t="s">
        <v>22</v>
      </c>
      <c r="J1" s="38" t="s">
        <v>30</v>
      </c>
      <c r="K1" s="38" t="s">
        <v>35</v>
      </c>
      <c r="L1" s="39"/>
      <c r="M1" s="38" t="s">
        <v>34</v>
      </c>
      <c r="N1" s="38" t="s">
        <v>31</v>
      </c>
      <c r="O1" s="38"/>
      <c r="P1" s="38"/>
      <c r="Q1" s="38"/>
      <c r="R1" s="38"/>
      <c r="S1" s="38"/>
      <c r="T1" s="38"/>
      <c r="U1" s="38"/>
      <c r="V1" s="38"/>
      <c r="W1" s="19"/>
      <c r="X1" s="19"/>
      <c r="Y1" s="27"/>
    </row>
    <row r="2" spans="1:25" s="32" customFormat="1" ht="16.8" customHeight="1" x14ac:dyDescent="0.3">
      <c r="A2" s="38"/>
      <c r="B2" s="38"/>
      <c r="C2" s="39"/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38"/>
      <c r="J2" s="38"/>
      <c r="K2" s="38"/>
      <c r="L2" s="39"/>
      <c r="M2" s="38"/>
      <c r="N2" s="19" t="s">
        <v>32</v>
      </c>
      <c r="O2" s="34" t="s">
        <v>38</v>
      </c>
      <c r="P2" s="19" t="s">
        <v>3</v>
      </c>
      <c r="Q2" s="34"/>
      <c r="R2" s="19" t="s">
        <v>64</v>
      </c>
      <c r="S2" s="34"/>
      <c r="T2" s="19" t="s">
        <v>65</v>
      </c>
      <c r="U2" s="34"/>
      <c r="V2" s="19" t="s">
        <v>66</v>
      </c>
      <c r="W2" s="34"/>
      <c r="X2" s="34" t="s">
        <v>39</v>
      </c>
      <c r="Y2" s="28"/>
    </row>
    <row r="3" spans="1:25" s="21" customFormat="1" x14ac:dyDescent="0.3">
      <c r="A3" s="20">
        <v>0</v>
      </c>
      <c r="B3" s="17" t="s">
        <v>41</v>
      </c>
      <c r="C3" s="35" t="str">
        <f>SUBSTITUTE(B3, " ", "")</f>
        <v>JacobHair&amp;Makeup</v>
      </c>
      <c r="D3" s="17" t="s">
        <v>29</v>
      </c>
      <c r="E3" s="17"/>
      <c r="F3" s="17"/>
      <c r="G3" s="17"/>
      <c r="H3" s="17"/>
      <c r="I3" s="17" t="str">
        <f>"['" &amp; _xlfn.TEXTJOIN("', '", TRUE, D3:H3) &amp;"']"</f>
        <v>['Studio']</v>
      </c>
      <c r="J3" s="20">
        <v>45</v>
      </c>
      <c r="K3" s="20"/>
      <c r="L3" s="29" t="s">
        <v>40</v>
      </c>
      <c r="M3" s="20"/>
      <c r="N3" s="20" t="s">
        <v>0</v>
      </c>
      <c r="O3" s="29" t="str" cm="1">
        <f t="array" ref="O3">IF(N3="", "[]", "[" &amp; _xlfn.TEXTJOIN(", ", TRUE, IFERROR(VLOOKUP(TRIM(_xlfn.TEXTSPLIT(N3, ", ")), Lists!C$2:D$1000, 2, FALSE), "")) &amp; "]")</f>
        <v>[0]</v>
      </c>
      <c r="P3" s="20">
        <v>1</v>
      </c>
      <c r="Q3" s="29" t="str">
        <f t="shared" ref="Q3" si="0">IF(P3="", "", "(1, " &amp; P3 &amp; ")")</f>
        <v>(1, 1)</v>
      </c>
      <c r="R3" s="20"/>
      <c r="S3" s="29" t="str">
        <f>IF(R3="", "", "(2, " &amp; R3 &amp; ")")</f>
        <v/>
      </c>
      <c r="T3" s="20"/>
      <c r="U3" s="29" t="str">
        <f>IF(T3="", "", "(3, " &amp; T3 &amp; ")")</f>
        <v/>
      </c>
      <c r="V3" s="20"/>
      <c r="W3" s="29" t="str">
        <f>IF(V3="", "", "(4, " &amp; V3 &amp; ")")</f>
        <v/>
      </c>
      <c r="X3" s="29" t="str">
        <f>"[" &amp; _xlfn.TEXTJOIN(", ", TRUE, Q3, S3, U3, W3) &amp; "]"</f>
        <v>[(1, 1)]</v>
      </c>
      <c r="Y3" s="29"/>
    </row>
    <row r="4" spans="1:25" s="21" customFormat="1" x14ac:dyDescent="0.3">
      <c r="A4" s="21">
        <v>1</v>
      </c>
      <c r="B4" s="16" t="s">
        <v>42</v>
      </c>
      <c r="C4" s="35" t="str">
        <f t="shared" ref="C4:C18" si="1">SUBSTITUTE(B4, " ", "")</f>
        <v>VickyHair&amp;Makeup</v>
      </c>
      <c r="D4" s="16" t="s">
        <v>29</v>
      </c>
      <c r="E4" s="16"/>
      <c r="F4" s="16"/>
      <c r="G4" s="16"/>
      <c r="H4" s="16"/>
      <c r="I4" s="16" t="str">
        <f t="shared" ref="I4:I18" si="2">"['" &amp; _xlfn.TEXTJOIN("', '", TRUE, D4:H4) &amp;"']"</f>
        <v>['Studio']</v>
      </c>
      <c r="J4" s="21">
        <v>75</v>
      </c>
      <c r="L4" s="29" t="s">
        <v>40</v>
      </c>
      <c r="N4" s="21" t="s">
        <v>4</v>
      </c>
      <c r="O4" s="29" t="str" cm="1">
        <f t="array" ref="O4">IF(N4="", "[]", "[" &amp; _xlfn.TEXTJOIN(", ", TRUE, IFERROR(VLOOKUP(TRIM(_xlfn.TEXTSPLIT(N4, ", ")), Lists!C$2:D$1000, 2, FALSE), "")) &amp; "]")</f>
        <v>[1]</v>
      </c>
      <c r="P4" s="21">
        <v>1</v>
      </c>
      <c r="Q4" s="29" t="str">
        <f>IF(P4="", "", "(1, " &amp; P4 &amp; ")")</f>
        <v>(1, 1)</v>
      </c>
      <c r="S4" s="29" t="str">
        <f t="shared" ref="S4:S18" si="3">IF(R4="", "", "(2, " &amp; R4 &amp; ")")</f>
        <v/>
      </c>
      <c r="U4" s="29" t="str">
        <f t="shared" ref="U4:U18" si="4">IF(T4="", "", "(3, " &amp; T4 &amp; ")")</f>
        <v/>
      </c>
      <c r="W4" s="29" t="str">
        <f t="shared" ref="W4:W18" si="5">IF(V4="", "", "(4, " &amp; V4 &amp; ")")</f>
        <v/>
      </c>
      <c r="X4" s="29" t="str">
        <f t="shared" ref="X4:X18" si="6">"[" &amp; _xlfn.TEXTJOIN(", ", TRUE, Q4, S4, U4, W4) &amp; "]"</f>
        <v>[(1, 1)]</v>
      </c>
      <c r="Y4" s="29"/>
    </row>
    <row r="5" spans="1:25" s="21" customFormat="1" x14ac:dyDescent="0.3">
      <c r="A5" s="20">
        <v>2</v>
      </c>
      <c r="B5" s="17" t="s">
        <v>43</v>
      </c>
      <c r="C5" s="35" t="str">
        <f t="shared" si="1"/>
        <v>MonitaHair&amp;Makeup</v>
      </c>
      <c r="D5" s="17" t="s">
        <v>29</v>
      </c>
      <c r="E5" s="17"/>
      <c r="F5" s="17"/>
      <c r="G5" s="17"/>
      <c r="H5" s="17"/>
      <c r="I5" s="17" t="str">
        <f t="shared" si="2"/>
        <v>['Studio']</v>
      </c>
      <c r="J5" s="20">
        <v>75</v>
      </c>
      <c r="K5" s="20"/>
      <c r="L5" s="29" t="s">
        <v>40</v>
      </c>
      <c r="M5" s="20"/>
      <c r="N5" s="20" t="s">
        <v>5</v>
      </c>
      <c r="O5" s="29" t="str" cm="1">
        <f t="array" ref="O5">IF(N5="", "[]", "[" &amp; _xlfn.TEXTJOIN(", ", TRUE, IFERROR(VLOOKUP(TRIM(_xlfn.TEXTSPLIT(N5, ", ")), Lists!C$2:D$1000, 2, FALSE), "")) &amp; "]")</f>
        <v>[2]</v>
      </c>
      <c r="P5" s="20">
        <v>1</v>
      </c>
      <c r="Q5" s="29" t="str">
        <f t="shared" ref="Q5:Q18" si="7">IF(P5="", "", "(1, " &amp; P5 &amp; ")")</f>
        <v>(1, 1)</v>
      </c>
      <c r="R5" s="20"/>
      <c r="S5" s="29" t="str">
        <f t="shared" si="3"/>
        <v/>
      </c>
      <c r="T5" s="20"/>
      <c r="U5" s="29" t="str">
        <f t="shared" si="4"/>
        <v/>
      </c>
      <c r="V5" s="20"/>
      <c r="W5" s="29" t="str">
        <f t="shared" si="5"/>
        <v/>
      </c>
      <c r="X5" s="29" t="str">
        <f t="shared" si="6"/>
        <v>[(1, 1)]</v>
      </c>
      <c r="Y5" s="29"/>
    </row>
    <row r="6" spans="1:25" s="21" customFormat="1" x14ac:dyDescent="0.3">
      <c r="A6" s="21">
        <v>3</v>
      </c>
      <c r="B6" s="16" t="s">
        <v>44</v>
      </c>
      <c r="C6" s="35" t="str">
        <f t="shared" si="1"/>
        <v>RayHair&amp;Makeup</v>
      </c>
      <c r="D6" s="16" t="s">
        <v>29</v>
      </c>
      <c r="E6" s="16"/>
      <c r="F6" s="16"/>
      <c r="G6" s="16"/>
      <c r="H6" s="16"/>
      <c r="I6" s="16" t="str">
        <f t="shared" si="2"/>
        <v>['Studio']</v>
      </c>
      <c r="J6" s="21">
        <v>45</v>
      </c>
      <c r="L6" s="29" t="s">
        <v>40</v>
      </c>
      <c r="N6" s="21" t="s">
        <v>6</v>
      </c>
      <c r="O6" s="29" t="str" cm="1">
        <f t="array" ref="O6">IF(N6="", "[]", "[" &amp; _xlfn.TEXTJOIN(", ", TRUE, IFERROR(VLOOKUP(TRIM(_xlfn.TEXTSPLIT(N6, ", ")), Lists!C$2:D$1000, 2, FALSE), "")) &amp; "]")</f>
        <v>[3]</v>
      </c>
      <c r="P6" s="21">
        <v>1</v>
      </c>
      <c r="Q6" s="29" t="str">
        <f t="shared" si="7"/>
        <v>(1, 1)</v>
      </c>
      <c r="S6" s="29" t="str">
        <f t="shared" si="3"/>
        <v/>
      </c>
      <c r="U6" s="29" t="str">
        <f t="shared" si="4"/>
        <v/>
      </c>
      <c r="W6" s="29" t="str">
        <f t="shared" si="5"/>
        <v/>
      </c>
      <c r="X6" s="29" t="str">
        <f t="shared" si="6"/>
        <v>[(1, 1)]</v>
      </c>
      <c r="Y6" s="29"/>
    </row>
    <row r="7" spans="1:25" x14ac:dyDescent="0.3">
      <c r="A7" s="20">
        <v>4</v>
      </c>
      <c r="B7" s="17" t="s">
        <v>20</v>
      </c>
      <c r="C7" s="35" t="str">
        <f t="shared" si="1"/>
        <v>SetupPhotoArea</v>
      </c>
      <c r="D7" s="17" t="s">
        <v>29</v>
      </c>
      <c r="E7" s="18" t="s">
        <v>29</v>
      </c>
      <c r="F7" s="18"/>
      <c r="G7" s="18"/>
      <c r="H7" s="18"/>
      <c r="I7" s="18" t="str">
        <f t="shared" si="2"/>
        <v>['Studio', 'Studio']</v>
      </c>
      <c r="J7" s="20">
        <v>15</v>
      </c>
      <c r="K7" s="20"/>
      <c r="L7" s="29" t="s">
        <v>40</v>
      </c>
      <c r="M7" s="22"/>
      <c r="N7" s="20"/>
      <c r="O7" s="29" t="str" cm="1">
        <f t="array" ref="O7">IF(N7="", "[]", "[" &amp; _xlfn.TEXTJOIN(", ", TRUE, IFERROR(VLOOKUP(TRIM(_xlfn.TEXTSPLIT(N7, ", ")), Lists!C$2:D$1000, 2, FALSE), "")) &amp; "]")</f>
        <v>[]</v>
      </c>
      <c r="P7" s="20"/>
      <c r="Q7" s="29" t="str">
        <f t="shared" si="7"/>
        <v/>
      </c>
      <c r="R7" s="20"/>
      <c r="S7" s="29" t="str">
        <f t="shared" si="3"/>
        <v/>
      </c>
      <c r="T7" s="20">
        <v>2</v>
      </c>
      <c r="U7" s="29" t="str">
        <f t="shared" si="4"/>
        <v>(3, 2)</v>
      </c>
      <c r="V7" s="20"/>
      <c r="W7" s="29" t="str">
        <f t="shared" si="5"/>
        <v/>
      </c>
      <c r="X7" s="29" t="str">
        <f t="shared" si="6"/>
        <v>[(3, 2)]</v>
      </c>
      <c r="Y7" s="30"/>
    </row>
    <row r="8" spans="1:25" x14ac:dyDescent="0.3">
      <c r="A8" s="21">
        <v>5</v>
      </c>
      <c r="B8" s="16" t="s">
        <v>45</v>
      </c>
      <c r="C8" s="35" t="str">
        <f t="shared" si="1"/>
        <v>SetupLightingA</v>
      </c>
      <c r="D8" s="16" t="s">
        <v>29</v>
      </c>
      <c r="I8" s="23" t="str">
        <f t="shared" si="2"/>
        <v>['Studio']</v>
      </c>
      <c r="J8" s="21">
        <v>75</v>
      </c>
      <c r="K8" s="21"/>
      <c r="L8" s="29" t="s">
        <v>40</v>
      </c>
      <c r="N8" s="21"/>
      <c r="O8" s="29" t="str" cm="1">
        <f t="array" ref="O8">IF(N8="", "[]", "[" &amp; _xlfn.TEXTJOIN(", ", TRUE, IFERROR(VLOOKUP(TRIM(_xlfn.TEXTSPLIT(N8, ", ")), Lists!C$2:D$1000, 2, FALSE), "")) &amp; "]")</f>
        <v>[]</v>
      </c>
      <c r="P8" s="21"/>
      <c r="Q8" s="29" t="str">
        <f t="shared" si="7"/>
        <v/>
      </c>
      <c r="R8" s="21">
        <v>2</v>
      </c>
      <c r="S8" s="29" t="str">
        <f t="shared" si="3"/>
        <v>(2, 2)</v>
      </c>
      <c r="T8" s="21"/>
      <c r="U8" s="29" t="str">
        <f t="shared" si="4"/>
        <v/>
      </c>
      <c r="V8" s="21"/>
      <c r="W8" s="29" t="str">
        <f t="shared" si="5"/>
        <v/>
      </c>
      <c r="X8" s="29" t="str">
        <f t="shared" si="6"/>
        <v>[(2, 2)]</v>
      </c>
      <c r="Y8" s="30"/>
    </row>
    <row r="9" spans="1:25" x14ac:dyDescent="0.3">
      <c r="A9" s="20">
        <v>6</v>
      </c>
      <c r="B9" s="17" t="s">
        <v>46</v>
      </c>
      <c r="C9" s="35" t="str">
        <f t="shared" si="1"/>
        <v>SetupLightingB</v>
      </c>
      <c r="D9" s="17" t="s">
        <v>29</v>
      </c>
      <c r="E9" s="18"/>
      <c r="F9" s="18"/>
      <c r="G9" s="18"/>
      <c r="H9" s="18"/>
      <c r="I9" s="18" t="str">
        <f t="shared" si="2"/>
        <v>['Studio']</v>
      </c>
      <c r="J9" s="20">
        <v>45</v>
      </c>
      <c r="K9" s="20"/>
      <c r="L9" s="29" t="s">
        <v>40</v>
      </c>
      <c r="M9" s="22"/>
      <c r="N9" s="20"/>
      <c r="O9" s="29" t="str" cm="1">
        <f t="array" ref="O9">IF(N9="", "[]", "[" &amp; _xlfn.TEXTJOIN(", ", TRUE, IFERROR(VLOOKUP(TRIM(_xlfn.TEXTSPLIT(N9, ", ")), Lists!C$2:D$1000, 2, FALSE), "")) &amp; "]")</f>
        <v>[]</v>
      </c>
      <c r="P9" s="20"/>
      <c r="Q9" s="29" t="str">
        <f t="shared" si="7"/>
        <v/>
      </c>
      <c r="R9" s="20">
        <v>2</v>
      </c>
      <c r="S9" s="29" t="str">
        <f t="shared" si="3"/>
        <v>(2, 2)</v>
      </c>
      <c r="T9" s="20"/>
      <c r="U9" s="29" t="str">
        <f t="shared" si="4"/>
        <v/>
      </c>
      <c r="V9" s="20"/>
      <c r="W9" s="29" t="str">
        <f t="shared" si="5"/>
        <v/>
      </c>
      <c r="X9" s="29" t="str">
        <f t="shared" si="6"/>
        <v>[(2, 2)]</v>
      </c>
      <c r="Y9" s="30"/>
    </row>
    <row r="10" spans="1:25" x14ac:dyDescent="0.3">
      <c r="A10" s="21">
        <v>7</v>
      </c>
      <c r="B10" s="16" t="s">
        <v>47</v>
      </c>
      <c r="C10" s="35" t="str">
        <f t="shared" si="1"/>
        <v>SetupLightingC</v>
      </c>
      <c r="D10" s="16" t="s">
        <v>29</v>
      </c>
      <c r="E10" s="23" t="s">
        <v>29</v>
      </c>
      <c r="I10" s="23" t="str">
        <f t="shared" si="2"/>
        <v>['Studio', 'Studio']</v>
      </c>
      <c r="J10" s="21">
        <v>105</v>
      </c>
      <c r="K10" s="21"/>
      <c r="L10" s="29" t="s">
        <v>40</v>
      </c>
      <c r="N10" s="21"/>
      <c r="O10" s="29" t="str" cm="1">
        <f t="array" ref="O10">IF(N10="", "[]", "[" &amp; _xlfn.TEXTJOIN(", ", TRUE, IFERROR(VLOOKUP(TRIM(_xlfn.TEXTSPLIT(N10, ", ")), Lists!C$2:D$1000, 2, FALSE), "")) &amp; "]")</f>
        <v>[]</v>
      </c>
      <c r="P10" s="21"/>
      <c r="Q10" s="29" t="str">
        <f t="shared" si="7"/>
        <v/>
      </c>
      <c r="R10" s="21">
        <v>2</v>
      </c>
      <c r="S10" s="29" t="str">
        <f t="shared" si="3"/>
        <v>(2, 2)</v>
      </c>
      <c r="T10" s="21"/>
      <c r="U10" s="29" t="str">
        <f t="shared" si="4"/>
        <v/>
      </c>
      <c r="V10" s="21"/>
      <c r="W10" s="29" t="str">
        <f t="shared" si="5"/>
        <v/>
      </c>
      <c r="X10" s="29" t="str">
        <f t="shared" si="6"/>
        <v>[(2, 2)]</v>
      </c>
      <c r="Y10" s="30"/>
    </row>
    <row r="11" spans="1:25" x14ac:dyDescent="0.3">
      <c r="A11" s="20">
        <v>8</v>
      </c>
      <c r="B11" s="17" t="s">
        <v>48</v>
      </c>
      <c r="C11" s="35" t="str">
        <f t="shared" si="1"/>
        <v>JacobVideoShoot</v>
      </c>
      <c r="D11" s="17" t="s">
        <v>29</v>
      </c>
      <c r="E11" s="18"/>
      <c r="F11" s="18"/>
      <c r="G11" s="18"/>
      <c r="H11" s="18"/>
      <c r="I11" s="18" t="str">
        <f t="shared" si="2"/>
        <v>['Studio']</v>
      </c>
      <c r="J11" s="20">
        <v>60</v>
      </c>
      <c r="K11" s="20"/>
      <c r="L11" s="29" t="s">
        <v>63</v>
      </c>
      <c r="M11" s="22"/>
      <c r="N11" s="20" t="s">
        <v>0</v>
      </c>
      <c r="O11" s="29" t="str" cm="1">
        <f t="array" ref="O11">IF(N11="", "[]", "[" &amp; _xlfn.TEXTJOIN(", ", TRUE, IFERROR(VLOOKUP(TRIM(_xlfn.TEXTSPLIT(N11, ", ")), Lists!C$2:D$1000, 2, FALSE), "")) &amp; "]")</f>
        <v>[0]</v>
      </c>
      <c r="P11" s="20">
        <v>1</v>
      </c>
      <c r="Q11" s="29" t="str">
        <f t="shared" si="7"/>
        <v>(1, 1)</v>
      </c>
      <c r="R11" s="20">
        <v>2</v>
      </c>
      <c r="S11" s="29" t="str">
        <f t="shared" si="3"/>
        <v>(2, 2)</v>
      </c>
      <c r="T11" s="20"/>
      <c r="U11" s="29" t="str">
        <f t="shared" si="4"/>
        <v/>
      </c>
      <c r="V11" s="20">
        <v>1</v>
      </c>
      <c r="W11" s="29" t="str">
        <f t="shared" si="5"/>
        <v>(4, 1)</v>
      </c>
      <c r="X11" s="29" t="str">
        <f t="shared" si="6"/>
        <v>[(1, 1), (2, 2), (4, 1)]</v>
      </c>
      <c r="Y11" s="30"/>
    </row>
    <row r="12" spans="1:25" x14ac:dyDescent="0.3">
      <c r="A12" s="21">
        <v>9</v>
      </c>
      <c r="B12" s="16" t="s">
        <v>49</v>
      </c>
      <c r="C12" s="35" t="str">
        <f t="shared" si="1"/>
        <v>JacobPhotoShoot</v>
      </c>
      <c r="D12" s="16" t="s">
        <v>29</v>
      </c>
      <c r="E12" s="16" t="s">
        <v>28</v>
      </c>
      <c r="F12" s="23" t="s">
        <v>29</v>
      </c>
      <c r="I12" s="23" t="str">
        <f t="shared" si="2"/>
        <v>['Studio', 'The Galleria', 'Studio']</v>
      </c>
      <c r="J12" s="21">
        <v>60</v>
      </c>
      <c r="K12" s="21"/>
      <c r="L12" s="29" t="s">
        <v>62</v>
      </c>
      <c r="N12" s="21" t="s">
        <v>0</v>
      </c>
      <c r="O12" s="29" t="str" cm="1">
        <f t="array" ref="O12">IF(N12="", "[]", "[" &amp; _xlfn.TEXTJOIN(", ", TRUE, IFERROR(VLOOKUP(TRIM(_xlfn.TEXTSPLIT(N12, ", ")), Lists!C$2:D$1000, 2, FALSE), "")) &amp; "]")</f>
        <v>[0]</v>
      </c>
      <c r="P12" s="21">
        <v>1</v>
      </c>
      <c r="Q12" s="29" t="str">
        <f t="shared" si="7"/>
        <v>(1, 1)</v>
      </c>
      <c r="R12" s="21"/>
      <c r="S12" s="29" t="str">
        <f t="shared" si="3"/>
        <v/>
      </c>
      <c r="T12" s="21">
        <v>2</v>
      </c>
      <c r="U12" s="29" t="str">
        <f t="shared" si="4"/>
        <v>(3, 2)</v>
      </c>
      <c r="V12" s="21">
        <v>1</v>
      </c>
      <c r="W12" s="29" t="str">
        <f t="shared" si="5"/>
        <v>(4, 1)</v>
      </c>
      <c r="X12" s="29" t="str">
        <f t="shared" si="6"/>
        <v>[(1, 1), (3, 2), (4, 1)]</v>
      </c>
      <c r="Y12" s="30"/>
    </row>
    <row r="13" spans="1:25" x14ac:dyDescent="0.3">
      <c r="A13" s="20">
        <v>10</v>
      </c>
      <c r="B13" s="17" t="s">
        <v>50</v>
      </c>
      <c r="C13" s="35" t="str">
        <f t="shared" si="1"/>
        <v>VickyVideoShoot</v>
      </c>
      <c r="D13" s="17" t="s">
        <v>29</v>
      </c>
      <c r="E13" s="18"/>
      <c r="F13" s="18"/>
      <c r="G13" s="18"/>
      <c r="H13" s="18"/>
      <c r="I13" s="18" t="str">
        <f t="shared" si="2"/>
        <v>['Studio']</v>
      </c>
      <c r="J13" s="20">
        <v>30</v>
      </c>
      <c r="K13" s="20"/>
      <c r="L13" s="29" t="s">
        <v>61</v>
      </c>
      <c r="M13" s="22"/>
      <c r="N13" s="20" t="s">
        <v>4</v>
      </c>
      <c r="O13" s="29" t="str" cm="1">
        <f t="array" ref="O13">IF(N13="", "[]", "[" &amp; _xlfn.TEXTJOIN(", ", TRUE, IFERROR(VLOOKUP(TRIM(_xlfn.TEXTSPLIT(N13, ", ")), Lists!C$2:D$1000, 2, FALSE), "")) &amp; "]")</f>
        <v>[1]</v>
      </c>
      <c r="P13" s="20">
        <v>1</v>
      </c>
      <c r="Q13" s="29" t="str">
        <f t="shared" si="7"/>
        <v>(1, 1)</v>
      </c>
      <c r="R13" s="20">
        <v>2</v>
      </c>
      <c r="S13" s="29" t="str">
        <f t="shared" si="3"/>
        <v>(2, 2)</v>
      </c>
      <c r="T13" s="20"/>
      <c r="U13" s="29" t="str">
        <f t="shared" si="4"/>
        <v/>
      </c>
      <c r="V13" s="20">
        <v>1</v>
      </c>
      <c r="W13" s="29" t="str">
        <f t="shared" si="5"/>
        <v>(4, 1)</v>
      </c>
      <c r="X13" s="29" t="str">
        <f t="shared" si="6"/>
        <v>[(1, 1), (2, 2), (4, 1)]</v>
      </c>
      <c r="Y13" s="30"/>
    </row>
    <row r="14" spans="1:25" x14ac:dyDescent="0.3">
      <c r="A14" s="21">
        <v>11</v>
      </c>
      <c r="B14" s="16" t="s">
        <v>51</v>
      </c>
      <c r="C14" s="35" t="str">
        <f t="shared" si="1"/>
        <v>VickyPhotoShoot</v>
      </c>
      <c r="D14" s="23" t="s">
        <v>29</v>
      </c>
      <c r="I14" s="23" t="str">
        <f t="shared" si="2"/>
        <v>['Studio']</v>
      </c>
      <c r="J14" s="21">
        <v>60</v>
      </c>
      <c r="K14" s="21"/>
      <c r="L14" s="29" t="s">
        <v>60</v>
      </c>
      <c r="N14" s="21" t="s">
        <v>4</v>
      </c>
      <c r="O14" s="29" t="str" cm="1">
        <f t="array" ref="O14">IF(N14="", "[]", "[" &amp; _xlfn.TEXTJOIN(", ", TRUE, IFERROR(VLOOKUP(TRIM(_xlfn.TEXTSPLIT(N14, ", ")), Lists!C$2:D$1000, 2, FALSE), "")) &amp; "]")</f>
        <v>[1]</v>
      </c>
      <c r="P14" s="21">
        <v>1</v>
      </c>
      <c r="Q14" s="29" t="str">
        <f t="shared" si="7"/>
        <v>(1, 1)</v>
      </c>
      <c r="R14" s="21"/>
      <c r="S14" s="29" t="str">
        <f t="shared" si="3"/>
        <v/>
      </c>
      <c r="T14" s="21">
        <v>2</v>
      </c>
      <c r="U14" s="29" t="str">
        <f t="shared" si="4"/>
        <v>(3, 2)</v>
      </c>
      <c r="V14" s="21">
        <v>1</v>
      </c>
      <c r="W14" s="29" t="str">
        <f t="shared" si="5"/>
        <v>(4, 1)</v>
      </c>
      <c r="X14" s="29" t="str">
        <f t="shared" si="6"/>
        <v>[(1, 1), (3, 2), (4, 1)]</v>
      </c>
      <c r="Y14" s="30"/>
    </row>
    <row r="15" spans="1:25" x14ac:dyDescent="0.3">
      <c r="A15" s="20">
        <v>12</v>
      </c>
      <c r="B15" s="17" t="s">
        <v>52</v>
      </c>
      <c r="C15" s="35" t="str">
        <f t="shared" si="1"/>
        <v>MonitaVideoShoot</v>
      </c>
      <c r="D15" s="17" t="s">
        <v>29</v>
      </c>
      <c r="E15" s="18" t="s">
        <v>29</v>
      </c>
      <c r="F15" s="18"/>
      <c r="G15" s="18"/>
      <c r="H15" s="18"/>
      <c r="I15" s="18" t="str">
        <f t="shared" si="2"/>
        <v>['Studio', 'Studio']</v>
      </c>
      <c r="J15" s="20">
        <v>45</v>
      </c>
      <c r="K15" s="20"/>
      <c r="L15" s="29" t="s">
        <v>59</v>
      </c>
      <c r="M15" s="22"/>
      <c r="N15" s="20" t="s">
        <v>5</v>
      </c>
      <c r="O15" s="29" t="str" cm="1">
        <f t="array" ref="O15">IF(N15="", "[]", "[" &amp; _xlfn.TEXTJOIN(", ", TRUE, IFERROR(VLOOKUP(TRIM(_xlfn.TEXTSPLIT(N15, ", ")), Lists!C$2:D$1000, 2, FALSE), "")) &amp; "]")</f>
        <v>[2]</v>
      </c>
      <c r="P15" s="20">
        <v>1</v>
      </c>
      <c r="Q15" s="29" t="str">
        <f t="shared" si="7"/>
        <v>(1, 1)</v>
      </c>
      <c r="R15" s="20">
        <v>2</v>
      </c>
      <c r="S15" s="29" t="str">
        <f t="shared" si="3"/>
        <v>(2, 2)</v>
      </c>
      <c r="T15" s="20"/>
      <c r="U15" s="29" t="str">
        <f t="shared" si="4"/>
        <v/>
      </c>
      <c r="V15" s="20">
        <v>1</v>
      </c>
      <c r="W15" s="29" t="str">
        <f t="shared" si="5"/>
        <v>(4, 1)</v>
      </c>
      <c r="X15" s="29" t="str">
        <f t="shared" si="6"/>
        <v>[(1, 1), (2, 2), (4, 1)]</v>
      </c>
      <c r="Y15" s="30"/>
    </row>
    <row r="16" spans="1:25" x14ac:dyDescent="0.3">
      <c r="A16" s="21">
        <v>13</v>
      </c>
      <c r="B16" s="16" t="s">
        <v>53</v>
      </c>
      <c r="C16" s="35" t="str">
        <f t="shared" si="1"/>
        <v>MonitaPhotoShoot</v>
      </c>
      <c r="D16" s="23" t="s">
        <v>29</v>
      </c>
      <c r="I16" s="23" t="str">
        <f t="shared" si="2"/>
        <v>['Studio']</v>
      </c>
      <c r="J16" s="21">
        <v>60</v>
      </c>
      <c r="K16" s="21"/>
      <c r="L16" s="29" t="s">
        <v>58</v>
      </c>
      <c r="N16" s="21" t="s">
        <v>5</v>
      </c>
      <c r="O16" s="29" t="str" cm="1">
        <f t="array" ref="O16">IF(N16="", "[]", "[" &amp; _xlfn.TEXTJOIN(", ", TRUE, IFERROR(VLOOKUP(TRIM(_xlfn.TEXTSPLIT(N16, ", ")), Lists!C$2:D$1000, 2, FALSE), "")) &amp; "]")</f>
        <v>[2]</v>
      </c>
      <c r="P16" s="21">
        <v>1</v>
      </c>
      <c r="Q16" s="29" t="str">
        <f t="shared" si="7"/>
        <v>(1, 1)</v>
      </c>
      <c r="R16" s="21"/>
      <c r="S16" s="29" t="str">
        <f t="shared" si="3"/>
        <v/>
      </c>
      <c r="T16" s="21">
        <v>2</v>
      </c>
      <c r="U16" s="29" t="str">
        <f t="shared" si="4"/>
        <v>(3, 2)</v>
      </c>
      <c r="V16" s="21">
        <v>1</v>
      </c>
      <c r="W16" s="29" t="str">
        <f t="shared" si="5"/>
        <v>(4, 1)</v>
      </c>
      <c r="X16" s="29" t="str">
        <f t="shared" si="6"/>
        <v>[(1, 1), (3, 2), (4, 1)]</v>
      </c>
      <c r="Y16" s="30"/>
    </row>
    <row r="17" spans="1:25" x14ac:dyDescent="0.3">
      <c r="A17" s="20">
        <v>14</v>
      </c>
      <c r="B17" s="17" t="s">
        <v>54</v>
      </c>
      <c r="C17" s="35" t="str">
        <f t="shared" si="1"/>
        <v>RayVideoShoot</v>
      </c>
      <c r="D17" s="17" t="s">
        <v>29</v>
      </c>
      <c r="E17" s="18" t="s">
        <v>29</v>
      </c>
      <c r="F17" s="18"/>
      <c r="G17" s="18"/>
      <c r="H17" s="18"/>
      <c r="I17" s="18" t="str">
        <f t="shared" si="2"/>
        <v>['Studio', 'Studio']</v>
      </c>
      <c r="J17" s="20">
        <v>60</v>
      </c>
      <c r="K17" s="20"/>
      <c r="L17" s="29" t="s">
        <v>57</v>
      </c>
      <c r="M17" s="22"/>
      <c r="N17" s="20" t="s">
        <v>6</v>
      </c>
      <c r="O17" s="29" t="str" cm="1">
        <f t="array" ref="O17">IF(N17="", "[]", "[" &amp; _xlfn.TEXTJOIN(", ", TRUE, IFERROR(VLOOKUP(TRIM(_xlfn.TEXTSPLIT(N17, ", ")), Lists!C$2:D$1000, 2, FALSE), "")) &amp; "]")</f>
        <v>[3]</v>
      </c>
      <c r="P17" s="20">
        <v>1</v>
      </c>
      <c r="Q17" s="29" t="str">
        <f t="shared" si="7"/>
        <v>(1, 1)</v>
      </c>
      <c r="R17" s="20">
        <v>2</v>
      </c>
      <c r="S17" s="29" t="str">
        <f t="shared" si="3"/>
        <v>(2, 2)</v>
      </c>
      <c r="T17" s="20"/>
      <c r="U17" s="29" t="str">
        <f t="shared" si="4"/>
        <v/>
      </c>
      <c r="V17" s="20">
        <v>1</v>
      </c>
      <c r="W17" s="29" t="str">
        <f t="shared" si="5"/>
        <v>(4, 1)</v>
      </c>
      <c r="X17" s="29" t="str">
        <f t="shared" si="6"/>
        <v>[(1, 1), (2, 2), (4, 1)]</v>
      </c>
      <c r="Y17" s="30"/>
    </row>
    <row r="18" spans="1:25" x14ac:dyDescent="0.3">
      <c r="A18" s="21">
        <v>15</v>
      </c>
      <c r="B18" s="16" t="s">
        <v>55</v>
      </c>
      <c r="C18" s="35" t="str">
        <f t="shared" si="1"/>
        <v>RayPhotoShoot</v>
      </c>
      <c r="D18" s="23" t="s">
        <v>29</v>
      </c>
      <c r="I18" s="23" t="str">
        <f t="shared" si="2"/>
        <v>['Studio']</v>
      </c>
      <c r="J18" s="21">
        <v>60</v>
      </c>
      <c r="K18" s="21"/>
      <c r="L18" s="29" t="s">
        <v>56</v>
      </c>
      <c r="N18" s="21" t="s">
        <v>6</v>
      </c>
      <c r="O18" s="29" t="str" cm="1">
        <f t="array" ref="O18">IF(N18="", "[]", "[" &amp; _xlfn.TEXTJOIN(", ", TRUE, IFERROR(VLOOKUP(TRIM(_xlfn.TEXTSPLIT(N18, ", ")), Lists!C$2:D$1000, 2, FALSE), "")) &amp; "]")</f>
        <v>[3]</v>
      </c>
      <c r="P18" s="21">
        <v>1</v>
      </c>
      <c r="Q18" s="29" t="str">
        <f t="shared" si="7"/>
        <v>(1, 1)</v>
      </c>
      <c r="R18" s="21"/>
      <c r="S18" s="29" t="str">
        <f t="shared" si="3"/>
        <v/>
      </c>
      <c r="T18" s="21">
        <v>2</v>
      </c>
      <c r="U18" s="29" t="str">
        <f t="shared" si="4"/>
        <v>(3, 2)</v>
      </c>
      <c r="V18" s="21">
        <v>1</v>
      </c>
      <c r="W18" s="29" t="str">
        <f t="shared" si="5"/>
        <v>(4, 1)</v>
      </c>
      <c r="X18" s="29" t="str">
        <f t="shared" si="6"/>
        <v>[(1, 1), (3, 2), (4, 1)]</v>
      </c>
      <c r="Y18" s="30"/>
    </row>
    <row r="19" spans="1:25" x14ac:dyDescent="0.3">
      <c r="A19" s="25"/>
      <c r="B19" s="26"/>
      <c r="C19" s="36"/>
      <c r="D19" s="26"/>
      <c r="E19" s="26"/>
      <c r="F19" s="26"/>
      <c r="G19" s="26"/>
      <c r="H19" s="26"/>
      <c r="I19" s="26"/>
      <c r="J19" s="25"/>
      <c r="K19" s="25"/>
      <c r="L19" s="30"/>
      <c r="M19" s="25"/>
      <c r="N19" s="25"/>
      <c r="O19" s="37"/>
      <c r="P19" s="25"/>
      <c r="Q19" s="30"/>
      <c r="R19" s="25"/>
      <c r="S19" s="30"/>
      <c r="T19" s="25"/>
      <c r="U19" s="30"/>
      <c r="V19" s="25"/>
      <c r="W19" s="30"/>
      <c r="X19" s="30"/>
      <c r="Y19" s="30"/>
    </row>
  </sheetData>
  <mergeCells count="10">
    <mergeCell ref="N1:V1"/>
    <mergeCell ref="I1:I2"/>
    <mergeCell ref="M1:M2"/>
    <mergeCell ref="K1:K2"/>
    <mergeCell ref="A1:A2"/>
    <mergeCell ref="B1:B2"/>
    <mergeCell ref="C1:C2"/>
    <mergeCell ref="D1:H1"/>
    <mergeCell ref="J1:J2"/>
    <mergeCell ref="L1:L2"/>
  </mergeCells>
  <phoneticPr fontId="3" type="noConversion"/>
  <dataValidations count="1">
    <dataValidation type="whole" allowBlank="1" showInputMessage="1" showErrorMessage="1" errorTitle="Error" error="Invalid duration, please enter a number between 0 and 1440." sqref="J3:K18 M3:M18" xr:uid="{094717B5-49F8-472F-B3E8-DD0AE21AF85E}">
      <formula1>0</formula1>
      <formula2>1440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A05D-12E9-4516-BE21-E91DF91C363F}">
  <sheetPr codeName="Sheet5"/>
  <dimension ref="A1:D1000"/>
  <sheetViews>
    <sheetView workbookViewId="0">
      <selection activeCell="F15" sqref="F15"/>
    </sheetView>
  </sheetViews>
  <sheetFormatPr defaultRowHeight="14.4" x14ac:dyDescent="0.3"/>
  <cols>
    <col min="1" max="1" width="5.21875" customWidth="1"/>
    <col min="2" max="2" width="16.88671875" customWidth="1"/>
    <col min="3" max="3" width="17.44140625" customWidth="1"/>
    <col min="4" max="4" width="5.21875" customWidth="1"/>
  </cols>
  <sheetData>
    <row r="1" spans="1:4" x14ac:dyDescent="0.3">
      <c r="B1" s="1" t="s">
        <v>2</v>
      </c>
      <c r="C1" s="11" t="s">
        <v>37</v>
      </c>
    </row>
    <row r="2" spans="1:4" x14ac:dyDescent="0.3">
      <c r="A2">
        <v>0</v>
      </c>
      <c r="B2" t="s">
        <v>1</v>
      </c>
      <c r="C2" t="str" cm="1">
        <f t="array" ref="C2:C5">_xlfn.TOCOL(_xlfn._xlws.FILTER(Members!B3:XFD3, Members!B4:XFD4 = "Actor"), 3)</f>
        <v>Jacob</v>
      </c>
      <c r="D2">
        <f>IF(C2="", "", _xlfn.XLOOKUP(C2, Members!B$3:XFD$3, Members!B$2:XFD$2))</f>
        <v>0</v>
      </c>
    </row>
    <row r="3" spans="1:4" x14ac:dyDescent="0.3">
      <c r="A3">
        <v>1</v>
      </c>
      <c r="B3" t="s">
        <v>3</v>
      </c>
      <c r="C3" t="str">
        <v>Vicky</v>
      </c>
      <c r="D3">
        <f>IF(C3="", "", _xlfn.XLOOKUP(C3, Members!B$3:XFD$3, Members!B$2:XFD$2))</f>
        <v>1</v>
      </c>
    </row>
    <row r="4" spans="1:4" x14ac:dyDescent="0.3">
      <c r="A4">
        <v>2</v>
      </c>
      <c r="B4" t="s">
        <v>64</v>
      </c>
      <c r="C4" t="str">
        <v>Monita</v>
      </c>
      <c r="D4">
        <f>IF(C4="", "", _xlfn.XLOOKUP(C4, Members!B$3:XFD$3, Members!B$2:XFD$2))</f>
        <v>2</v>
      </c>
    </row>
    <row r="5" spans="1:4" x14ac:dyDescent="0.3">
      <c r="A5">
        <v>3</v>
      </c>
      <c r="B5" t="s">
        <v>65</v>
      </c>
      <c r="C5" t="str">
        <v>Ray</v>
      </c>
      <c r="D5">
        <f>IF(C5="", "", _xlfn.XLOOKUP(C5, Members!B$3:XFD$3, Members!B$2:XFD$2))</f>
        <v>3</v>
      </c>
    </row>
    <row r="6" spans="1:4" x14ac:dyDescent="0.3">
      <c r="A6">
        <v>4</v>
      </c>
      <c r="B6" t="s">
        <v>66</v>
      </c>
      <c r="D6" t="str">
        <f>IF(C6="", "", _xlfn.XLOOKUP(C6, Members!B$3:XFD$3, Members!B$2:XFD$2))</f>
        <v/>
      </c>
    </row>
    <row r="7" spans="1:4" x14ac:dyDescent="0.3">
      <c r="D7" t="str">
        <f>IF(C7="", "", _xlfn.XLOOKUP(C7, Members!B$3:XFD$3, Members!B$2:XFD$2))</f>
        <v/>
      </c>
    </row>
    <row r="8" spans="1:4" x14ac:dyDescent="0.3">
      <c r="D8" t="str">
        <f>IF(C8="", "", _xlfn.XLOOKUP(C8, Members!B$3:XFD$3, Members!B$2:XFD$2))</f>
        <v/>
      </c>
    </row>
    <row r="9" spans="1:4" x14ac:dyDescent="0.3">
      <c r="D9" t="str">
        <f>IF(C9="", "", _xlfn.XLOOKUP(C9, Members!B$3:XFD$3, Members!B$2:XFD$2))</f>
        <v/>
      </c>
    </row>
    <row r="10" spans="1:4" x14ac:dyDescent="0.3">
      <c r="D10" t="str">
        <f>IF(C10="", "", _xlfn.XLOOKUP(C10, Members!B$3:XFD$3, Members!B$2:XFD$2))</f>
        <v/>
      </c>
    </row>
    <row r="11" spans="1:4" x14ac:dyDescent="0.3">
      <c r="D11" t="str">
        <f>IF(C11="", "", _xlfn.XLOOKUP(C11, Members!B$3:XFD$3, Members!B$2:XFD$2))</f>
        <v/>
      </c>
    </row>
    <row r="12" spans="1:4" x14ac:dyDescent="0.3">
      <c r="D12" t="str">
        <f>IF(C12="", "", _xlfn.XLOOKUP(C12, Members!B$3:XFD$3, Members!B$2:XFD$2))</f>
        <v/>
      </c>
    </row>
    <row r="13" spans="1:4" x14ac:dyDescent="0.3">
      <c r="D13" t="str">
        <f>IF(C13="", "", _xlfn.XLOOKUP(C13, Members!B$3:XFD$3, Members!B$2:XFD$2))</f>
        <v/>
      </c>
    </row>
    <row r="14" spans="1:4" x14ac:dyDescent="0.3">
      <c r="D14" t="str">
        <f>IF(C14="", "", _xlfn.XLOOKUP(C14, Members!B$3:XFD$3, Members!B$2:XFD$2))</f>
        <v/>
      </c>
    </row>
    <row r="15" spans="1:4" x14ac:dyDescent="0.3">
      <c r="D15" t="str">
        <f>IF(C15="", "", _xlfn.XLOOKUP(C15, Members!B$3:XFD$3, Members!B$2:XFD$2))</f>
        <v/>
      </c>
    </row>
    <row r="16" spans="1:4" x14ac:dyDescent="0.3">
      <c r="D16" t="str">
        <f>IF(C16="", "", _xlfn.XLOOKUP(C16, Members!B$3:XFD$3, Members!B$2:XFD$2))</f>
        <v/>
      </c>
    </row>
    <row r="17" spans="4:4" x14ac:dyDescent="0.3">
      <c r="D17" t="str">
        <f>IF(C17="", "", _xlfn.XLOOKUP(C17, Members!B$3:XFD$3, Members!B$2:XFD$2))</f>
        <v/>
      </c>
    </row>
    <row r="18" spans="4:4" x14ac:dyDescent="0.3">
      <c r="D18" t="str">
        <f>IF(C18="", "", _xlfn.XLOOKUP(C18, Members!B$3:XFD$3, Members!B$2:XFD$2))</f>
        <v/>
      </c>
    </row>
    <row r="19" spans="4:4" x14ac:dyDescent="0.3">
      <c r="D19" t="str">
        <f>IF(C19="", "", _xlfn.XLOOKUP(C19, Members!B$3:XFD$3, Members!B$2:XFD$2))</f>
        <v/>
      </c>
    </row>
    <row r="20" spans="4:4" x14ac:dyDescent="0.3">
      <c r="D20" t="str">
        <f>IF(C20="", "", _xlfn.XLOOKUP(C20, Members!B$3:XFD$3, Members!B$2:XFD$2))</f>
        <v/>
      </c>
    </row>
    <row r="21" spans="4:4" x14ac:dyDescent="0.3">
      <c r="D21" t="str">
        <f>IF(C21="", "", _xlfn.XLOOKUP(C21, Members!B$3:XFD$3, Members!B$2:XFD$2))</f>
        <v/>
      </c>
    </row>
    <row r="22" spans="4:4" x14ac:dyDescent="0.3">
      <c r="D22" t="str">
        <f>IF(C22="", "", _xlfn.XLOOKUP(C22, Members!B$3:XFD$3, Members!B$2:XFD$2))</f>
        <v/>
      </c>
    </row>
    <row r="23" spans="4:4" x14ac:dyDescent="0.3">
      <c r="D23" t="str">
        <f>IF(C23="", "", _xlfn.XLOOKUP(C23, Members!B$3:XFD$3, Members!B$2:XFD$2))</f>
        <v/>
      </c>
    </row>
    <row r="24" spans="4:4" x14ac:dyDescent="0.3">
      <c r="D24" t="str">
        <f>IF(C24="", "", _xlfn.XLOOKUP(C24, Members!B$3:XFD$3, Members!B$2:XFD$2))</f>
        <v/>
      </c>
    </row>
    <row r="25" spans="4:4" x14ac:dyDescent="0.3">
      <c r="D25" t="str">
        <f>IF(C25="", "", _xlfn.XLOOKUP(C25, Members!B$3:XFD$3, Members!B$2:XFD$2))</f>
        <v/>
      </c>
    </row>
    <row r="26" spans="4:4" x14ac:dyDescent="0.3">
      <c r="D26" t="str">
        <f>IF(C26="", "", _xlfn.XLOOKUP(C26, Members!B$3:XFD$3, Members!B$2:XFD$2))</f>
        <v/>
      </c>
    </row>
    <row r="27" spans="4:4" x14ac:dyDescent="0.3">
      <c r="D27" t="str">
        <f>IF(C27="", "", _xlfn.XLOOKUP(C27, Members!B$3:XFD$3, Members!B$2:XFD$2))</f>
        <v/>
      </c>
    </row>
    <row r="28" spans="4:4" x14ac:dyDescent="0.3">
      <c r="D28" t="str">
        <f>IF(C28="", "", _xlfn.XLOOKUP(C28, Members!B$3:XFD$3, Members!B$2:XFD$2))</f>
        <v/>
      </c>
    </row>
    <row r="29" spans="4:4" x14ac:dyDescent="0.3">
      <c r="D29" t="str">
        <f>IF(C29="", "", _xlfn.XLOOKUP(C29, Members!B$3:XFD$3, Members!B$2:XFD$2))</f>
        <v/>
      </c>
    </row>
    <row r="30" spans="4:4" x14ac:dyDescent="0.3">
      <c r="D30" t="str">
        <f>IF(C30="", "", _xlfn.XLOOKUP(C30, Members!B$3:XFD$3, Members!B$2:XFD$2))</f>
        <v/>
      </c>
    </row>
    <row r="31" spans="4:4" x14ac:dyDescent="0.3">
      <c r="D31" t="str">
        <f>IF(C31="", "", _xlfn.XLOOKUP(C31, Members!B$3:XFD$3, Members!B$2:XFD$2))</f>
        <v/>
      </c>
    </row>
    <row r="32" spans="4:4" x14ac:dyDescent="0.3">
      <c r="D32" t="str">
        <f>IF(C32="", "", _xlfn.XLOOKUP(C32, Members!B$3:XFD$3, Members!B$2:XFD$2))</f>
        <v/>
      </c>
    </row>
    <row r="33" spans="4:4" x14ac:dyDescent="0.3">
      <c r="D33" t="str">
        <f>IF(C33="", "", _xlfn.XLOOKUP(C33, Members!B$3:XFD$3, Members!B$2:XFD$2))</f>
        <v/>
      </c>
    </row>
    <row r="34" spans="4:4" x14ac:dyDescent="0.3">
      <c r="D34" t="str">
        <f>IF(C34="", "", _xlfn.XLOOKUP(C34, Members!B$3:XFD$3, Members!B$2:XFD$2))</f>
        <v/>
      </c>
    </row>
    <row r="35" spans="4:4" x14ac:dyDescent="0.3">
      <c r="D35" t="str">
        <f>IF(C35="", "", _xlfn.XLOOKUP(C35, Members!B$3:XFD$3, Members!B$2:XFD$2))</f>
        <v/>
      </c>
    </row>
    <row r="36" spans="4:4" x14ac:dyDescent="0.3">
      <c r="D36" t="str">
        <f>IF(C36="", "", _xlfn.XLOOKUP(C36, Members!B$3:XFD$3, Members!B$2:XFD$2))</f>
        <v/>
      </c>
    </row>
    <row r="37" spans="4:4" x14ac:dyDescent="0.3">
      <c r="D37" t="str">
        <f>IF(C37="", "", _xlfn.XLOOKUP(C37, Members!B$3:XFD$3, Members!B$2:XFD$2))</f>
        <v/>
      </c>
    </row>
    <row r="38" spans="4:4" x14ac:dyDescent="0.3">
      <c r="D38" t="str">
        <f>IF(C38="", "", _xlfn.XLOOKUP(C38, Members!B$3:XFD$3, Members!B$2:XFD$2))</f>
        <v/>
      </c>
    </row>
    <row r="39" spans="4:4" x14ac:dyDescent="0.3">
      <c r="D39" t="str">
        <f>IF(C39="", "", _xlfn.XLOOKUP(C39, Members!B$3:XFD$3, Members!B$2:XFD$2))</f>
        <v/>
      </c>
    </row>
    <row r="40" spans="4:4" x14ac:dyDescent="0.3">
      <c r="D40" t="str">
        <f>IF(C40="", "", _xlfn.XLOOKUP(C40, Members!B$3:XFD$3, Members!B$2:XFD$2))</f>
        <v/>
      </c>
    </row>
    <row r="41" spans="4:4" x14ac:dyDescent="0.3">
      <c r="D41" t="str">
        <f>IF(C41="", "", _xlfn.XLOOKUP(C41, Members!B$3:XFD$3, Members!B$2:XFD$2))</f>
        <v/>
      </c>
    </row>
    <row r="42" spans="4:4" x14ac:dyDescent="0.3">
      <c r="D42" t="str">
        <f>IF(C42="", "", _xlfn.XLOOKUP(C42, Members!B$3:XFD$3, Members!B$2:XFD$2))</f>
        <v/>
      </c>
    </row>
    <row r="43" spans="4:4" x14ac:dyDescent="0.3">
      <c r="D43" t="str">
        <f>IF(C43="", "", _xlfn.XLOOKUP(C43, Members!B$3:XFD$3, Members!B$2:XFD$2))</f>
        <v/>
      </c>
    </row>
    <row r="44" spans="4:4" x14ac:dyDescent="0.3">
      <c r="D44" t="str">
        <f>IF(C44="", "", _xlfn.XLOOKUP(C44, Members!B$3:XFD$3, Members!B$2:XFD$2))</f>
        <v/>
      </c>
    </row>
    <row r="45" spans="4:4" x14ac:dyDescent="0.3">
      <c r="D45" t="str">
        <f>IF(C45="", "", _xlfn.XLOOKUP(C45, Members!B$3:XFD$3, Members!B$2:XFD$2))</f>
        <v/>
      </c>
    </row>
    <row r="46" spans="4:4" x14ac:dyDescent="0.3">
      <c r="D46" t="str">
        <f>IF(C46="", "", _xlfn.XLOOKUP(C46, Members!B$3:XFD$3, Members!B$2:XFD$2))</f>
        <v/>
      </c>
    </row>
    <row r="47" spans="4:4" x14ac:dyDescent="0.3">
      <c r="D47" t="str">
        <f>IF(C47="", "", _xlfn.XLOOKUP(C47, Members!B$3:XFD$3, Members!B$2:XFD$2))</f>
        <v/>
      </c>
    </row>
    <row r="48" spans="4:4" x14ac:dyDescent="0.3">
      <c r="D48" t="str">
        <f>IF(C48="", "", _xlfn.XLOOKUP(C48, Members!B$3:XFD$3, Members!B$2:XFD$2))</f>
        <v/>
      </c>
    </row>
    <row r="49" spans="4:4" x14ac:dyDescent="0.3">
      <c r="D49" t="str">
        <f>IF(C49="", "", _xlfn.XLOOKUP(C49, Members!B$3:XFD$3, Members!B$2:XFD$2))</f>
        <v/>
      </c>
    </row>
    <row r="50" spans="4:4" x14ac:dyDescent="0.3">
      <c r="D50" t="str">
        <f>IF(C50="", "", _xlfn.XLOOKUP(C50, Members!B$3:XFD$3, Members!B$2:XFD$2))</f>
        <v/>
      </c>
    </row>
    <row r="51" spans="4:4" x14ac:dyDescent="0.3">
      <c r="D51" t="str">
        <f>IF(C51="", "", _xlfn.XLOOKUP(C51, Members!B$3:XFD$3, Members!B$2:XFD$2))</f>
        <v/>
      </c>
    </row>
    <row r="52" spans="4:4" x14ac:dyDescent="0.3">
      <c r="D52" t="str">
        <f>IF(C52="", "", _xlfn.XLOOKUP(C52, Members!B$3:XFD$3, Members!B$2:XFD$2))</f>
        <v/>
      </c>
    </row>
    <row r="53" spans="4:4" x14ac:dyDescent="0.3">
      <c r="D53" t="str">
        <f>IF(C53="", "", _xlfn.XLOOKUP(C53, Members!B$3:XFD$3, Members!B$2:XFD$2))</f>
        <v/>
      </c>
    </row>
    <row r="54" spans="4:4" x14ac:dyDescent="0.3">
      <c r="D54" t="str">
        <f>IF(C54="", "", _xlfn.XLOOKUP(C54, Members!B$3:XFD$3, Members!B$2:XFD$2))</f>
        <v/>
      </c>
    </row>
    <row r="55" spans="4:4" x14ac:dyDescent="0.3">
      <c r="D55" t="str">
        <f>IF(C55="", "", _xlfn.XLOOKUP(C55, Members!B$3:XFD$3, Members!B$2:XFD$2))</f>
        <v/>
      </c>
    </row>
    <row r="56" spans="4:4" x14ac:dyDescent="0.3">
      <c r="D56" t="str">
        <f>IF(C56="", "", _xlfn.XLOOKUP(C56, Members!B$3:XFD$3, Members!B$2:XFD$2))</f>
        <v/>
      </c>
    </row>
    <row r="57" spans="4:4" x14ac:dyDescent="0.3">
      <c r="D57" t="str">
        <f>IF(C57="", "", _xlfn.XLOOKUP(C57, Members!B$3:XFD$3, Members!B$2:XFD$2))</f>
        <v/>
      </c>
    </row>
    <row r="58" spans="4:4" x14ac:dyDescent="0.3">
      <c r="D58" t="str">
        <f>IF(C58="", "", _xlfn.XLOOKUP(C58, Members!B$3:XFD$3, Members!B$2:XFD$2))</f>
        <v/>
      </c>
    </row>
    <row r="59" spans="4:4" x14ac:dyDescent="0.3">
      <c r="D59" t="str">
        <f>IF(C59="", "", _xlfn.XLOOKUP(C59, Members!B$3:XFD$3, Members!B$2:XFD$2))</f>
        <v/>
      </c>
    </row>
    <row r="60" spans="4:4" x14ac:dyDescent="0.3">
      <c r="D60" t="str">
        <f>IF(C60="", "", _xlfn.XLOOKUP(C60, Members!B$3:XFD$3, Members!B$2:XFD$2))</f>
        <v/>
      </c>
    </row>
    <row r="61" spans="4:4" x14ac:dyDescent="0.3">
      <c r="D61" t="str">
        <f>IF(C61="", "", _xlfn.XLOOKUP(C61, Members!B$3:XFD$3, Members!B$2:XFD$2))</f>
        <v/>
      </c>
    </row>
    <row r="62" spans="4:4" x14ac:dyDescent="0.3">
      <c r="D62" t="str">
        <f>IF(C62="", "", _xlfn.XLOOKUP(C62, Members!B$3:XFD$3, Members!B$2:XFD$2))</f>
        <v/>
      </c>
    </row>
    <row r="63" spans="4:4" x14ac:dyDescent="0.3">
      <c r="D63" t="str">
        <f>IF(C63="", "", _xlfn.XLOOKUP(C63, Members!B$3:XFD$3, Members!B$2:XFD$2))</f>
        <v/>
      </c>
    </row>
    <row r="64" spans="4:4" x14ac:dyDescent="0.3">
      <c r="D64" t="str">
        <f>IF(C64="", "", _xlfn.XLOOKUP(C64, Members!B$3:XFD$3, Members!B$2:XFD$2))</f>
        <v/>
      </c>
    </row>
    <row r="65" spans="4:4" x14ac:dyDescent="0.3">
      <c r="D65" t="str">
        <f>IF(C65="", "", _xlfn.XLOOKUP(C65, Members!B$3:XFD$3, Members!B$2:XFD$2))</f>
        <v/>
      </c>
    </row>
    <row r="66" spans="4:4" x14ac:dyDescent="0.3">
      <c r="D66" t="str">
        <f>IF(C66="", "", _xlfn.XLOOKUP(C66, Members!B$3:XFD$3, Members!B$2:XFD$2))</f>
        <v/>
      </c>
    </row>
    <row r="67" spans="4:4" x14ac:dyDescent="0.3">
      <c r="D67" t="str">
        <f>IF(C67="", "", _xlfn.XLOOKUP(C67, Members!B$3:XFD$3, Members!B$2:XFD$2))</f>
        <v/>
      </c>
    </row>
    <row r="68" spans="4:4" x14ac:dyDescent="0.3">
      <c r="D68" t="str">
        <f>IF(C68="", "", _xlfn.XLOOKUP(C68, Members!B$3:XFD$3, Members!B$2:XFD$2))</f>
        <v/>
      </c>
    </row>
    <row r="69" spans="4:4" x14ac:dyDescent="0.3">
      <c r="D69" t="str">
        <f>IF(C69="", "", _xlfn.XLOOKUP(C69, Members!B$3:XFD$3, Members!B$2:XFD$2))</f>
        <v/>
      </c>
    </row>
    <row r="70" spans="4:4" x14ac:dyDescent="0.3">
      <c r="D70" t="str">
        <f>IF(C70="", "", _xlfn.XLOOKUP(C70, Members!B$3:XFD$3, Members!B$2:XFD$2))</f>
        <v/>
      </c>
    </row>
    <row r="71" spans="4:4" x14ac:dyDescent="0.3">
      <c r="D71" t="str">
        <f>IF(C71="", "", _xlfn.XLOOKUP(C71, Members!B$3:XFD$3, Members!B$2:XFD$2))</f>
        <v/>
      </c>
    </row>
    <row r="72" spans="4:4" x14ac:dyDescent="0.3">
      <c r="D72" t="str">
        <f>IF(C72="", "", _xlfn.XLOOKUP(C72, Members!B$3:XFD$3, Members!B$2:XFD$2))</f>
        <v/>
      </c>
    </row>
    <row r="73" spans="4:4" x14ac:dyDescent="0.3">
      <c r="D73" t="str">
        <f>IF(C73="", "", _xlfn.XLOOKUP(C73, Members!B$3:XFD$3, Members!B$2:XFD$2))</f>
        <v/>
      </c>
    </row>
    <row r="74" spans="4:4" x14ac:dyDescent="0.3">
      <c r="D74" t="str">
        <f>IF(C74="", "", _xlfn.XLOOKUP(C74, Members!B$3:XFD$3, Members!B$2:XFD$2))</f>
        <v/>
      </c>
    </row>
    <row r="75" spans="4:4" x14ac:dyDescent="0.3">
      <c r="D75" t="str">
        <f>IF(C75="", "", _xlfn.XLOOKUP(C75, Members!B$3:XFD$3, Members!B$2:XFD$2))</f>
        <v/>
      </c>
    </row>
    <row r="76" spans="4:4" x14ac:dyDescent="0.3">
      <c r="D76" t="str">
        <f>IF(C76="", "", _xlfn.XLOOKUP(C76, Members!B$3:XFD$3, Members!B$2:XFD$2))</f>
        <v/>
      </c>
    </row>
    <row r="77" spans="4:4" x14ac:dyDescent="0.3">
      <c r="D77" t="str">
        <f>IF(C77="", "", _xlfn.XLOOKUP(C77, Members!B$3:XFD$3, Members!B$2:XFD$2))</f>
        <v/>
      </c>
    </row>
    <row r="78" spans="4:4" x14ac:dyDescent="0.3">
      <c r="D78" t="str">
        <f>IF(C78="", "", _xlfn.XLOOKUP(C78, Members!B$3:XFD$3, Members!B$2:XFD$2))</f>
        <v/>
      </c>
    </row>
    <row r="79" spans="4:4" x14ac:dyDescent="0.3">
      <c r="D79" t="str">
        <f>IF(C79="", "", _xlfn.XLOOKUP(C79, Members!B$3:XFD$3, Members!B$2:XFD$2))</f>
        <v/>
      </c>
    </row>
    <row r="80" spans="4:4" x14ac:dyDescent="0.3">
      <c r="D80" t="str">
        <f>IF(C80="", "", _xlfn.XLOOKUP(C80, Members!B$3:XFD$3, Members!B$2:XFD$2))</f>
        <v/>
      </c>
    </row>
    <row r="81" spans="4:4" x14ac:dyDescent="0.3">
      <c r="D81" t="str">
        <f>IF(C81="", "", _xlfn.XLOOKUP(C81, Members!B$3:XFD$3, Members!B$2:XFD$2))</f>
        <v/>
      </c>
    </row>
    <row r="82" spans="4:4" x14ac:dyDescent="0.3">
      <c r="D82" t="str">
        <f>IF(C82="", "", _xlfn.XLOOKUP(C82, Members!B$3:XFD$3, Members!B$2:XFD$2))</f>
        <v/>
      </c>
    </row>
    <row r="83" spans="4:4" x14ac:dyDescent="0.3">
      <c r="D83" t="str">
        <f>IF(C83="", "", _xlfn.XLOOKUP(C83, Members!B$3:XFD$3, Members!B$2:XFD$2))</f>
        <v/>
      </c>
    </row>
    <row r="84" spans="4:4" x14ac:dyDescent="0.3">
      <c r="D84" t="str">
        <f>IF(C84="", "", _xlfn.XLOOKUP(C84, Members!B$3:XFD$3, Members!B$2:XFD$2))</f>
        <v/>
      </c>
    </row>
    <row r="85" spans="4:4" x14ac:dyDescent="0.3">
      <c r="D85" t="str">
        <f>IF(C85="", "", _xlfn.XLOOKUP(C85, Members!B$3:XFD$3, Members!B$2:XFD$2))</f>
        <v/>
      </c>
    </row>
    <row r="86" spans="4:4" x14ac:dyDescent="0.3">
      <c r="D86" t="str">
        <f>IF(C86="", "", _xlfn.XLOOKUP(C86, Members!B$3:XFD$3, Members!B$2:XFD$2))</f>
        <v/>
      </c>
    </row>
    <row r="87" spans="4:4" x14ac:dyDescent="0.3">
      <c r="D87" t="str">
        <f>IF(C87="", "", _xlfn.XLOOKUP(C87, Members!B$3:XFD$3, Members!B$2:XFD$2))</f>
        <v/>
      </c>
    </row>
    <row r="88" spans="4:4" x14ac:dyDescent="0.3">
      <c r="D88" t="str">
        <f>IF(C88="", "", _xlfn.XLOOKUP(C88, Members!B$3:XFD$3, Members!B$2:XFD$2))</f>
        <v/>
      </c>
    </row>
    <row r="89" spans="4:4" x14ac:dyDescent="0.3">
      <c r="D89" t="str">
        <f>IF(C89="", "", _xlfn.XLOOKUP(C89, Members!B$3:XFD$3, Members!B$2:XFD$2))</f>
        <v/>
      </c>
    </row>
    <row r="90" spans="4:4" x14ac:dyDescent="0.3">
      <c r="D90" t="str">
        <f>IF(C90="", "", _xlfn.XLOOKUP(C90, Members!B$3:XFD$3, Members!B$2:XFD$2))</f>
        <v/>
      </c>
    </row>
    <row r="91" spans="4:4" x14ac:dyDescent="0.3">
      <c r="D91" t="str">
        <f>IF(C91="", "", _xlfn.XLOOKUP(C91, Members!B$3:XFD$3, Members!B$2:XFD$2))</f>
        <v/>
      </c>
    </row>
    <row r="92" spans="4:4" x14ac:dyDescent="0.3">
      <c r="D92" t="str">
        <f>IF(C92="", "", _xlfn.XLOOKUP(C92, Members!B$3:XFD$3, Members!B$2:XFD$2))</f>
        <v/>
      </c>
    </row>
    <row r="93" spans="4:4" x14ac:dyDescent="0.3">
      <c r="D93" t="str">
        <f>IF(C93="", "", _xlfn.XLOOKUP(C93, Members!B$3:XFD$3, Members!B$2:XFD$2))</f>
        <v/>
      </c>
    </row>
    <row r="94" spans="4:4" x14ac:dyDescent="0.3">
      <c r="D94" t="str">
        <f>IF(C94="", "", _xlfn.XLOOKUP(C94, Members!B$3:XFD$3, Members!B$2:XFD$2))</f>
        <v/>
      </c>
    </row>
    <row r="95" spans="4:4" x14ac:dyDescent="0.3">
      <c r="D95" t="str">
        <f>IF(C95="", "", _xlfn.XLOOKUP(C95, Members!B$3:XFD$3, Members!B$2:XFD$2))</f>
        <v/>
      </c>
    </row>
    <row r="96" spans="4:4" x14ac:dyDescent="0.3">
      <c r="D96" t="str">
        <f>IF(C96="", "", _xlfn.XLOOKUP(C96, Members!B$3:XFD$3, Members!B$2:XFD$2))</f>
        <v/>
      </c>
    </row>
    <row r="97" spans="4:4" x14ac:dyDescent="0.3">
      <c r="D97" t="str">
        <f>IF(C97="", "", _xlfn.XLOOKUP(C97, Members!B$3:XFD$3, Members!B$2:XFD$2))</f>
        <v/>
      </c>
    </row>
    <row r="98" spans="4:4" x14ac:dyDescent="0.3">
      <c r="D98" t="str">
        <f>IF(C98="", "", _xlfn.XLOOKUP(C98, Members!B$3:XFD$3, Members!B$2:XFD$2))</f>
        <v/>
      </c>
    </row>
    <row r="99" spans="4:4" x14ac:dyDescent="0.3">
      <c r="D99" t="str">
        <f>IF(C99="", "", _xlfn.XLOOKUP(C99, Members!B$3:XFD$3, Members!B$2:XFD$2))</f>
        <v/>
      </c>
    </row>
    <row r="100" spans="4:4" x14ac:dyDescent="0.3">
      <c r="D100" t="str">
        <f>IF(C100="", "", _xlfn.XLOOKUP(C100, Members!B$3:XFD$3, Members!B$2:XFD$2))</f>
        <v/>
      </c>
    </row>
    <row r="101" spans="4:4" x14ac:dyDescent="0.3">
      <c r="D101" t="str">
        <f>IF(C101="", "", _xlfn.XLOOKUP(C101, Members!B$3:XFD$3, Members!B$2:XFD$2))</f>
        <v/>
      </c>
    </row>
    <row r="102" spans="4:4" x14ac:dyDescent="0.3">
      <c r="D102" t="str">
        <f>IF(C102="", "", _xlfn.XLOOKUP(C102, Members!B$3:XFD$3, Members!B$2:XFD$2))</f>
        <v/>
      </c>
    </row>
    <row r="103" spans="4:4" x14ac:dyDescent="0.3">
      <c r="D103" t="str">
        <f>IF(C103="", "", _xlfn.XLOOKUP(C103, Members!B$3:XFD$3, Members!B$2:XFD$2))</f>
        <v/>
      </c>
    </row>
    <row r="104" spans="4:4" x14ac:dyDescent="0.3">
      <c r="D104" t="str">
        <f>IF(C104="", "", _xlfn.XLOOKUP(C104, Members!B$3:XFD$3, Members!B$2:XFD$2))</f>
        <v/>
      </c>
    </row>
    <row r="105" spans="4:4" x14ac:dyDescent="0.3">
      <c r="D105" t="str">
        <f>IF(C105="", "", _xlfn.XLOOKUP(C105, Members!B$3:XFD$3, Members!B$2:XFD$2))</f>
        <v/>
      </c>
    </row>
    <row r="106" spans="4:4" x14ac:dyDescent="0.3">
      <c r="D106" t="str">
        <f>IF(C106="", "", _xlfn.XLOOKUP(C106, Members!B$3:XFD$3, Members!B$2:XFD$2))</f>
        <v/>
      </c>
    </row>
    <row r="107" spans="4:4" x14ac:dyDescent="0.3">
      <c r="D107" t="str">
        <f>IF(C107="", "", _xlfn.XLOOKUP(C107, Members!B$3:XFD$3, Members!B$2:XFD$2))</f>
        <v/>
      </c>
    </row>
    <row r="108" spans="4:4" x14ac:dyDescent="0.3">
      <c r="D108" t="str">
        <f>IF(C108="", "", _xlfn.XLOOKUP(C108, Members!B$3:XFD$3, Members!B$2:XFD$2))</f>
        <v/>
      </c>
    </row>
    <row r="109" spans="4:4" x14ac:dyDescent="0.3">
      <c r="D109" t="str">
        <f>IF(C109="", "", _xlfn.XLOOKUP(C109, Members!B$3:XFD$3, Members!B$2:XFD$2))</f>
        <v/>
      </c>
    </row>
    <row r="110" spans="4:4" x14ac:dyDescent="0.3">
      <c r="D110" t="str">
        <f>IF(C110="", "", _xlfn.XLOOKUP(C110, Members!B$3:XFD$3, Members!B$2:XFD$2))</f>
        <v/>
      </c>
    </row>
    <row r="111" spans="4:4" x14ac:dyDescent="0.3">
      <c r="D111" t="str">
        <f>IF(C111="", "", _xlfn.XLOOKUP(C111, Members!B$3:XFD$3, Members!B$2:XFD$2))</f>
        <v/>
      </c>
    </row>
    <row r="112" spans="4:4" x14ac:dyDescent="0.3">
      <c r="D112" t="str">
        <f>IF(C112="", "", _xlfn.XLOOKUP(C112, Members!B$3:XFD$3, Members!B$2:XFD$2))</f>
        <v/>
      </c>
    </row>
    <row r="113" spans="4:4" x14ac:dyDescent="0.3">
      <c r="D113" t="str">
        <f>IF(C113="", "", _xlfn.XLOOKUP(C113, Members!B$3:XFD$3, Members!B$2:XFD$2))</f>
        <v/>
      </c>
    </row>
    <row r="114" spans="4:4" x14ac:dyDescent="0.3">
      <c r="D114" t="str">
        <f>IF(C114="", "", _xlfn.XLOOKUP(C114, Members!B$3:XFD$3, Members!B$2:XFD$2))</f>
        <v/>
      </c>
    </row>
    <row r="115" spans="4:4" x14ac:dyDescent="0.3">
      <c r="D115" t="str">
        <f>IF(C115="", "", _xlfn.XLOOKUP(C115, Members!B$3:XFD$3, Members!B$2:XFD$2))</f>
        <v/>
      </c>
    </row>
    <row r="116" spans="4:4" x14ac:dyDescent="0.3">
      <c r="D116" t="str">
        <f>IF(C116="", "", _xlfn.XLOOKUP(C116, Members!B$3:XFD$3, Members!B$2:XFD$2))</f>
        <v/>
      </c>
    </row>
    <row r="117" spans="4:4" x14ac:dyDescent="0.3">
      <c r="D117" t="str">
        <f>IF(C117="", "", _xlfn.XLOOKUP(C117, Members!B$3:XFD$3, Members!B$2:XFD$2))</f>
        <v/>
      </c>
    </row>
    <row r="118" spans="4:4" x14ac:dyDescent="0.3">
      <c r="D118" t="str">
        <f>IF(C118="", "", _xlfn.XLOOKUP(C118, Members!B$3:XFD$3, Members!B$2:XFD$2))</f>
        <v/>
      </c>
    </row>
    <row r="119" spans="4:4" x14ac:dyDescent="0.3">
      <c r="D119" t="str">
        <f>IF(C119="", "", _xlfn.XLOOKUP(C119, Members!B$3:XFD$3, Members!B$2:XFD$2))</f>
        <v/>
      </c>
    </row>
    <row r="120" spans="4:4" x14ac:dyDescent="0.3">
      <c r="D120" t="str">
        <f>IF(C120="", "", _xlfn.XLOOKUP(C120, Members!B$3:XFD$3, Members!B$2:XFD$2))</f>
        <v/>
      </c>
    </row>
    <row r="121" spans="4:4" x14ac:dyDescent="0.3">
      <c r="D121" t="str">
        <f>IF(C121="", "", _xlfn.XLOOKUP(C121, Members!B$3:XFD$3, Members!B$2:XFD$2))</f>
        <v/>
      </c>
    </row>
    <row r="122" spans="4:4" x14ac:dyDescent="0.3">
      <c r="D122" t="str">
        <f>IF(C122="", "", _xlfn.XLOOKUP(C122, Members!B$3:XFD$3, Members!B$2:XFD$2))</f>
        <v/>
      </c>
    </row>
    <row r="123" spans="4:4" x14ac:dyDescent="0.3">
      <c r="D123" t="str">
        <f>IF(C123="", "", _xlfn.XLOOKUP(C123, Members!B$3:XFD$3, Members!B$2:XFD$2))</f>
        <v/>
      </c>
    </row>
    <row r="124" spans="4:4" x14ac:dyDescent="0.3">
      <c r="D124" t="str">
        <f>IF(C124="", "", _xlfn.XLOOKUP(C124, Members!B$3:XFD$3, Members!B$2:XFD$2))</f>
        <v/>
      </c>
    </row>
    <row r="125" spans="4:4" x14ac:dyDescent="0.3">
      <c r="D125" t="str">
        <f>IF(C125="", "", _xlfn.XLOOKUP(C125, Members!B$3:XFD$3, Members!B$2:XFD$2))</f>
        <v/>
      </c>
    </row>
    <row r="126" spans="4:4" x14ac:dyDescent="0.3">
      <c r="D126" t="str">
        <f>IF(C126="", "", _xlfn.XLOOKUP(C126, Members!B$3:XFD$3, Members!B$2:XFD$2))</f>
        <v/>
      </c>
    </row>
    <row r="127" spans="4:4" x14ac:dyDescent="0.3">
      <c r="D127" t="str">
        <f>IF(C127="", "", _xlfn.XLOOKUP(C127, Members!B$3:XFD$3, Members!B$2:XFD$2))</f>
        <v/>
      </c>
    </row>
    <row r="128" spans="4:4" x14ac:dyDescent="0.3">
      <c r="D128" t="str">
        <f>IF(C128="", "", _xlfn.XLOOKUP(C128, Members!B$3:XFD$3, Members!B$2:XFD$2))</f>
        <v/>
      </c>
    </row>
    <row r="129" spans="4:4" x14ac:dyDescent="0.3">
      <c r="D129" t="str">
        <f>IF(C129="", "", _xlfn.XLOOKUP(C129, Members!B$3:XFD$3, Members!B$2:XFD$2))</f>
        <v/>
      </c>
    </row>
    <row r="130" spans="4:4" x14ac:dyDescent="0.3">
      <c r="D130" t="str">
        <f>IF(C130="", "", _xlfn.XLOOKUP(C130, Members!B$3:XFD$3, Members!B$2:XFD$2))</f>
        <v/>
      </c>
    </row>
    <row r="131" spans="4:4" x14ac:dyDescent="0.3">
      <c r="D131" t="str">
        <f>IF(C131="", "", _xlfn.XLOOKUP(C131, Members!B$3:XFD$3, Members!B$2:XFD$2))</f>
        <v/>
      </c>
    </row>
    <row r="132" spans="4:4" x14ac:dyDescent="0.3">
      <c r="D132" t="str">
        <f>IF(C132="", "", _xlfn.XLOOKUP(C132, Members!B$3:XFD$3, Members!B$2:XFD$2))</f>
        <v/>
      </c>
    </row>
    <row r="133" spans="4:4" x14ac:dyDescent="0.3">
      <c r="D133" t="str">
        <f>IF(C133="", "", _xlfn.XLOOKUP(C133, Members!B$3:XFD$3, Members!B$2:XFD$2))</f>
        <v/>
      </c>
    </row>
    <row r="134" spans="4:4" x14ac:dyDescent="0.3">
      <c r="D134" t="str">
        <f>IF(C134="", "", _xlfn.XLOOKUP(C134, Members!B$3:XFD$3, Members!B$2:XFD$2))</f>
        <v/>
      </c>
    </row>
    <row r="135" spans="4:4" x14ac:dyDescent="0.3">
      <c r="D135" t="str">
        <f>IF(C135="", "", _xlfn.XLOOKUP(C135, Members!B$3:XFD$3, Members!B$2:XFD$2))</f>
        <v/>
      </c>
    </row>
    <row r="136" spans="4:4" x14ac:dyDescent="0.3">
      <c r="D136" t="str">
        <f>IF(C136="", "", _xlfn.XLOOKUP(C136, Members!B$3:XFD$3, Members!B$2:XFD$2))</f>
        <v/>
      </c>
    </row>
    <row r="137" spans="4:4" x14ac:dyDescent="0.3">
      <c r="D137" t="str">
        <f>IF(C137="", "", _xlfn.XLOOKUP(C137, Members!B$3:XFD$3, Members!B$2:XFD$2))</f>
        <v/>
      </c>
    </row>
    <row r="138" spans="4:4" x14ac:dyDescent="0.3">
      <c r="D138" t="str">
        <f>IF(C138="", "", _xlfn.XLOOKUP(C138, Members!B$3:XFD$3, Members!B$2:XFD$2))</f>
        <v/>
      </c>
    </row>
    <row r="139" spans="4:4" x14ac:dyDescent="0.3">
      <c r="D139" t="str">
        <f>IF(C139="", "", _xlfn.XLOOKUP(C139, Members!B$3:XFD$3, Members!B$2:XFD$2))</f>
        <v/>
      </c>
    </row>
    <row r="140" spans="4:4" x14ac:dyDescent="0.3">
      <c r="D140" t="str">
        <f>IF(C140="", "", _xlfn.XLOOKUP(C140, Members!B$3:XFD$3, Members!B$2:XFD$2))</f>
        <v/>
      </c>
    </row>
    <row r="141" spans="4:4" x14ac:dyDescent="0.3">
      <c r="D141" t="str">
        <f>IF(C141="", "", _xlfn.XLOOKUP(C141, Members!B$3:XFD$3, Members!B$2:XFD$2))</f>
        <v/>
      </c>
    </row>
    <row r="142" spans="4:4" x14ac:dyDescent="0.3">
      <c r="D142" t="str">
        <f>IF(C142="", "", _xlfn.XLOOKUP(C142, Members!B$3:XFD$3, Members!B$2:XFD$2))</f>
        <v/>
      </c>
    </row>
    <row r="143" spans="4:4" x14ac:dyDescent="0.3">
      <c r="D143" t="str">
        <f>IF(C143="", "", _xlfn.XLOOKUP(C143, Members!B$3:XFD$3, Members!B$2:XFD$2))</f>
        <v/>
      </c>
    </row>
    <row r="144" spans="4:4" x14ac:dyDescent="0.3">
      <c r="D144" t="str">
        <f>IF(C144="", "", _xlfn.XLOOKUP(C144, Members!B$3:XFD$3, Members!B$2:XFD$2))</f>
        <v/>
      </c>
    </row>
    <row r="145" spans="4:4" x14ac:dyDescent="0.3">
      <c r="D145" t="str">
        <f>IF(C145="", "", _xlfn.XLOOKUP(C145, Members!B$3:XFD$3, Members!B$2:XFD$2))</f>
        <v/>
      </c>
    </row>
    <row r="146" spans="4:4" x14ac:dyDescent="0.3">
      <c r="D146" t="str">
        <f>IF(C146="", "", _xlfn.XLOOKUP(C146, Members!B$3:XFD$3, Members!B$2:XFD$2))</f>
        <v/>
      </c>
    </row>
    <row r="147" spans="4:4" x14ac:dyDescent="0.3">
      <c r="D147" t="str">
        <f>IF(C147="", "", _xlfn.XLOOKUP(C147, Members!B$3:XFD$3, Members!B$2:XFD$2))</f>
        <v/>
      </c>
    </row>
    <row r="148" spans="4:4" x14ac:dyDescent="0.3">
      <c r="D148" t="str">
        <f>IF(C148="", "", _xlfn.XLOOKUP(C148, Members!B$3:XFD$3, Members!B$2:XFD$2))</f>
        <v/>
      </c>
    </row>
    <row r="149" spans="4:4" x14ac:dyDescent="0.3">
      <c r="D149" t="str">
        <f>IF(C149="", "", _xlfn.XLOOKUP(C149, Members!B$3:XFD$3, Members!B$2:XFD$2))</f>
        <v/>
      </c>
    </row>
    <row r="150" spans="4:4" x14ac:dyDescent="0.3">
      <c r="D150" t="str">
        <f>IF(C150="", "", _xlfn.XLOOKUP(C150, Members!B$3:XFD$3, Members!B$2:XFD$2))</f>
        <v/>
      </c>
    </row>
    <row r="151" spans="4:4" x14ac:dyDescent="0.3">
      <c r="D151" t="str">
        <f>IF(C151="", "", _xlfn.XLOOKUP(C151, Members!B$3:XFD$3, Members!B$2:XFD$2))</f>
        <v/>
      </c>
    </row>
    <row r="152" spans="4:4" x14ac:dyDescent="0.3">
      <c r="D152" t="str">
        <f>IF(C152="", "", _xlfn.XLOOKUP(C152, Members!B$3:XFD$3, Members!B$2:XFD$2))</f>
        <v/>
      </c>
    </row>
    <row r="153" spans="4:4" x14ac:dyDescent="0.3">
      <c r="D153" t="str">
        <f>IF(C153="", "", _xlfn.XLOOKUP(C153, Members!B$3:XFD$3, Members!B$2:XFD$2))</f>
        <v/>
      </c>
    </row>
    <row r="154" spans="4:4" x14ac:dyDescent="0.3">
      <c r="D154" t="str">
        <f>IF(C154="", "", _xlfn.XLOOKUP(C154, Members!B$3:XFD$3, Members!B$2:XFD$2))</f>
        <v/>
      </c>
    </row>
    <row r="155" spans="4:4" x14ac:dyDescent="0.3">
      <c r="D155" t="str">
        <f>IF(C155="", "", _xlfn.XLOOKUP(C155, Members!B$3:XFD$3, Members!B$2:XFD$2))</f>
        <v/>
      </c>
    </row>
    <row r="156" spans="4:4" x14ac:dyDescent="0.3">
      <c r="D156" t="str">
        <f>IF(C156="", "", _xlfn.XLOOKUP(C156, Members!B$3:XFD$3, Members!B$2:XFD$2))</f>
        <v/>
      </c>
    </row>
    <row r="157" spans="4:4" x14ac:dyDescent="0.3">
      <c r="D157" t="str">
        <f>IF(C157="", "", _xlfn.XLOOKUP(C157, Members!B$3:XFD$3, Members!B$2:XFD$2))</f>
        <v/>
      </c>
    </row>
    <row r="158" spans="4:4" x14ac:dyDescent="0.3">
      <c r="D158" t="str">
        <f>IF(C158="", "", _xlfn.XLOOKUP(C158, Members!B$3:XFD$3, Members!B$2:XFD$2))</f>
        <v/>
      </c>
    </row>
    <row r="159" spans="4:4" x14ac:dyDescent="0.3">
      <c r="D159" t="str">
        <f>IF(C159="", "", _xlfn.XLOOKUP(C159, Members!B$3:XFD$3, Members!B$2:XFD$2))</f>
        <v/>
      </c>
    </row>
    <row r="160" spans="4:4" x14ac:dyDescent="0.3">
      <c r="D160" t="str">
        <f>IF(C160="", "", _xlfn.XLOOKUP(C160, Members!B$3:XFD$3, Members!B$2:XFD$2))</f>
        <v/>
      </c>
    </row>
    <row r="161" spans="4:4" x14ac:dyDescent="0.3">
      <c r="D161" t="str">
        <f>IF(C161="", "", _xlfn.XLOOKUP(C161, Members!B$3:XFD$3, Members!B$2:XFD$2))</f>
        <v/>
      </c>
    </row>
    <row r="162" spans="4:4" x14ac:dyDescent="0.3">
      <c r="D162" t="str">
        <f>IF(C162="", "", _xlfn.XLOOKUP(C162, Members!B$3:XFD$3, Members!B$2:XFD$2))</f>
        <v/>
      </c>
    </row>
    <row r="163" spans="4:4" x14ac:dyDescent="0.3">
      <c r="D163" t="str">
        <f>IF(C163="", "", _xlfn.XLOOKUP(C163, Members!B$3:XFD$3, Members!B$2:XFD$2))</f>
        <v/>
      </c>
    </row>
    <row r="164" spans="4:4" x14ac:dyDescent="0.3">
      <c r="D164" t="str">
        <f>IF(C164="", "", _xlfn.XLOOKUP(C164, Members!B$3:XFD$3, Members!B$2:XFD$2))</f>
        <v/>
      </c>
    </row>
    <row r="165" spans="4:4" x14ac:dyDescent="0.3">
      <c r="D165" t="str">
        <f>IF(C165="", "", _xlfn.XLOOKUP(C165, Members!B$3:XFD$3, Members!B$2:XFD$2))</f>
        <v/>
      </c>
    </row>
    <row r="166" spans="4:4" x14ac:dyDescent="0.3">
      <c r="D166" t="str">
        <f>IF(C166="", "", _xlfn.XLOOKUP(C166, Members!B$3:XFD$3, Members!B$2:XFD$2))</f>
        <v/>
      </c>
    </row>
    <row r="167" spans="4:4" x14ac:dyDescent="0.3">
      <c r="D167" t="str">
        <f>IF(C167="", "", _xlfn.XLOOKUP(C167, Members!B$3:XFD$3, Members!B$2:XFD$2))</f>
        <v/>
      </c>
    </row>
    <row r="168" spans="4:4" x14ac:dyDescent="0.3">
      <c r="D168" t="str">
        <f>IF(C168="", "", _xlfn.XLOOKUP(C168, Members!B$3:XFD$3, Members!B$2:XFD$2))</f>
        <v/>
      </c>
    </row>
    <row r="169" spans="4:4" x14ac:dyDescent="0.3">
      <c r="D169" t="str">
        <f>IF(C169="", "", _xlfn.XLOOKUP(C169, Members!B$3:XFD$3, Members!B$2:XFD$2))</f>
        <v/>
      </c>
    </row>
    <row r="170" spans="4:4" x14ac:dyDescent="0.3">
      <c r="D170" t="str">
        <f>IF(C170="", "", _xlfn.XLOOKUP(C170, Members!B$3:XFD$3, Members!B$2:XFD$2))</f>
        <v/>
      </c>
    </row>
    <row r="171" spans="4:4" x14ac:dyDescent="0.3">
      <c r="D171" t="str">
        <f>IF(C171="", "", _xlfn.XLOOKUP(C171, Members!B$3:XFD$3, Members!B$2:XFD$2))</f>
        <v/>
      </c>
    </row>
    <row r="172" spans="4:4" x14ac:dyDescent="0.3">
      <c r="D172" t="str">
        <f>IF(C172="", "", _xlfn.XLOOKUP(C172, Members!B$3:XFD$3, Members!B$2:XFD$2))</f>
        <v/>
      </c>
    </row>
    <row r="173" spans="4:4" x14ac:dyDescent="0.3">
      <c r="D173" t="str">
        <f>IF(C173="", "", _xlfn.XLOOKUP(C173, Members!B$3:XFD$3, Members!B$2:XFD$2))</f>
        <v/>
      </c>
    </row>
    <row r="174" spans="4:4" x14ac:dyDescent="0.3">
      <c r="D174" t="str">
        <f>IF(C174="", "", _xlfn.XLOOKUP(C174, Members!B$3:XFD$3, Members!B$2:XFD$2))</f>
        <v/>
      </c>
    </row>
    <row r="175" spans="4:4" x14ac:dyDescent="0.3">
      <c r="D175" t="str">
        <f>IF(C175="", "", _xlfn.XLOOKUP(C175, Members!B$3:XFD$3, Members!B$2:XFD$2))</f>
        <v/>
      </c>
    </row>
    <row r="176" spans="4:4" x14ac:dyDescent="0.3">
      <c r="D176" t="str">
        <f>IF(C176="", "", _xlfn.XLOOKUP(C176, Members!B$3:XFD$3, Members!B$2:XFD$2))</f>
        <v/>
      </c>
    </row>
    <row r="177" spans="4:4" x14ac:dyDescent="0.3">
      <c r="D177" t="str">
        <f>IF(C177="", "", _xlfn.XLOOKUP(C177, Members!B$3:XFD$3, Members!B$2:XFD$2))</f>
        <v/>
      </c>
    </row>
    <row r="178" spans="4:4" x14ac:dyDescent="0.3">
      <c r="D178" t="str">
        <f>IF(C178="", "", _xlfn.XLOOKUP(C178, Members!B$3:XFD$3, Members!B$2:XFD$2))</f>
        <v/>
      </c>
    </row>
    <row r="179" spans="4:4" x14ac:dyDescent="0.3">
      <c r="D179" t="str">
        <f>IF(C179="", "", _xlfn.XLOOKUP(C179, Members!B$3:XFD$3, Members!B$2:XFD$2))</f>
        <v/>
      </c>
    </row>
    <row r="180" spans="4:4" x14ac:dyDescent="0.3">
      <c r="D180" t="str">
        <f>IF(C180="", "", _xlfn.XLOOKUP(C180, Members!B$3:XFD$3, Members!B$2:XFD$2))</f>
        <v/>
      </c>
    </row>
    <row r="181" spans="4:4" x14ac:dyDescent="0.3">
      <c r="D181" t="str">
        <f>IF(C181="", "", _xlfn.XLOOKUP(C181, Members!B$3:XFD$3, Members!B$2:XFD$2))</f>
        <v/>
      </c>
    </row>
    <row r="182" spans="4:4" x14ac:dyDescent="0.3">
      <c r="D182" t="str">
        <f>IF(C182="", "", _xlfn.XLOOKUP(C182, Members!B$3:XFD$3, Members!B$2:XFD$2))</f>
        <v/>
      </c>
    </row>
    <row r="183" spans="4:4" x14ac:dyDescent="0.3">
      <c r="D183" t="str">
        <f>IF(C183="", "", _xlfn.XLOOKUP(C183, Members!B$3:XFD$3, Members!B$2:XFD$2))</f>
        <v/>
      </c>
    </row>
    <row r="184" spans="4:4" x14ac:dyDescent="0.3">
      <c r="D184" t="str">
        <f>IF(C184="", "", _xlfn.XLOOKUP(C184, Members!B$3:XFD$3, Members!B$2:XFD$2))</f>
        <v/>
      </c>
    </row>
    <row r="185" spans="4:4" x14ac:dyDescent="0.3">
      <c r="D185" t="str">
        <f>IF(C185="", "", _xlfn.XLOOKUP(C185, Members!B$3:XFD$3, Members!B$2:XFD$2))</f>
        <v/>
      </c>
    </row>
    <row r="186" spans="4:4" x14ac:dyDescent="0.3">
      <c r="D186" t="str">
        <f>IF(C186="", "", _xlfn.XLOOKUP(C186, Members!B$3:XFD$3, Members!B$2:XFD$2))</f>
        <v/>
      </c>
    </row>
    <row r="187" spans="4:4" x14ac:dyDescent="0.3">
      <c r="D187" t="str">
        <f>IF(C187="", "", _xlfn.XLOOKUP(C187, Members!B$3:XFD$3, Members!B$2:XFD$2))</f>
        <v/>
      </c>
    </row>
    <row r="188" spans="4:4" x14ac:dyDescent="0.3">
      <c r="D188" t="str">
        <f>IF(C188="", "", _xlfn.XLOOKUP(C188, Members!B$3:XFD$3, Members!B$2:XFD$2))</f>
        <v/>
      </c>
    </row>
    <row r="189" spans="4:4" x14ac:dyDescent="0.3">
      <c r="D189" t="str">
        <f>IF(C189="", "", _xlfn.XLOOKUP(C189, Members!B$3:XFD$3, Members!B$2:XFD$2))</f>
        <v/>
      </c>
    </row>
    <row r="190" spans="4:4" x14ac:dyDescent="0.3">
      <c r="D190" t="str">
        <f>IF(C190="", "", _xlfn.XLOOKUP(C190, Members!B$3:XFD$3, Members!B$2:XFD$2))</f>
        <v/>
      </c>
    </row>
    <row r="191" spans="4:4" x14ac:dyDescent="0.3">
      <c r="D191" t="str">
        <f>IF(C191="", "", _xlfn.XLOOKUP(C191, Members!B$3:XFD$3, Members!B$2:XFD$2))</f>
        <v/>
      </c>
    </row>
    <row r="192" spans="4:4" x14ac:dyDescent="0.3">
      <c r="D192" t="str">
        <f>IF(C192="", "", _xlfn.XLOOKUP(C192, Members!B$3:XFD$3, Members!B$2:XFD$2))</f>
        <v/>
      </c>
    </row>
    <row r="193" spans="4:4" x14ac:dyDescent="0.3">
      <c r="D193" t="str">
        <f>IF(C193="", "", _xlfn.XLOOKUP(C193, Members!B$3:XFD$3, Members!B$2:XFD$2))</f>
        <v/>
      </c>
    </row>
    <row r="194" spans="4:4" x14ac:dyDescent="0.3">
      <c r="D194" t="str">
        <f>IF(C194="", "", _xlfn.XLOOKUP(C194, Members!B$3:XFD$3, Members!B$2:XFD$2))</f>
        <v/>
      </c>
    </row>
    <row r="195" spans="4:4" x14ac:dyDescent="0.3">
      <c r="D195" t="str">
        <f>IF(C195="", "", _xlfn.XLOOKUP(C195, Members!B$3:XFD$3, Members!B$2:XFD$2))</f>
        <v/>
      </c>
    </row>
    <row r="196" spans="4:4" x14ac:dyDescent="0.3">
      <c r="D196" t="str">
        <f>IF(C196="", "", _xlfn.XLOOKUP(C196, Members!B$3:XFD$3, Members!B$2:XFD$2))</f>
        <v/>
      </c>
    </row>
    <row r="197" spans="4:4" x14ac:dyDescent="0.3">
      <c r="D197" t="str">
        <f>IF(C197="", "", _xlfn.XLOOKUP(C197, Members!B$3:XFD$3, Members!B$2:XFD$2))</f>
        <v/>
      </c>
    </row>
    <row r="198" spans="4:4" x14ac:dyDescent="0.3">
      <c r="D198" t="str">
        <f>IF(C198="", "", _xlfn.XLOOKUP(C198, Members!B$3:XFD$3, Members!B$2:XFD$2))</f>
        <v/>
      </c>
    </row>
    <row r="199" spans="4:4" x14ac:dyDescent="0.3">
      <c r="D199" t="str">
        <f>IF(C199="", "", _xlfn.XLOOKUP(C199, Members!B$3:XFD$3, Members!B$2:XFD$2))</f>
        <v/>
      </c>
    </row>
    <row r="200" spans="4:4" x14ac:dyDescent="0.3">
      <c r="D200" t="str">
        <f>IF(C200="", "", _xlfn.XLOOKUP(C200, Members!B$3:XFD$3, Members!B$2:XFD$2))</f>
        <v/>
      </c>
    </row>
    <row r="201" spans="4:4" x14ac:dyDescent="0.3">
      <c r="D201" t="str">
        <f>IF(C201="", "", _xlfn.XLOOKUP(C201, Members!B$3:XFD$3, Members!B$2:XFD$2))</f>
        <v/>
      </c>
    </row>
    <row r="202" spans="4:4" x14ac:dyDescent="0.3">
      <c r="D202" t="str">
        <f>IF(C202="", "", _xlfn.XLOOKUP(C202, Members!B$3:XFD$3, Members!B$2:XFD$2))</f>
        <v/>
      </c>
    </row>
    <row r="203" spans="4:4" x14ac:dyDescent="0.3">
      <c r="D203" t="str">
        <f>IF(C203="", "", _xlfn.XLOOKUP(C203, Members!B$3:XFD$3, Members!B$2:XFD$2))</f>
        <v/>
      </c>
    </row>
    <row r="204" spans="4:4" x14ac:dyDescent="0.3">
      <c r="D204" t="str">
        <f>IF(C204="", "", _xlfn.XLOOKUP(C204, Members!B$3:XFD$3, Members!B$2:XFD$2))</f>
        <v/>
      </c>
    </row>
    <row r="205" spans="4:4" x14ac:dyDescent="0.3">
      <c r="D205" t="str">
        <f>IF(C205="", "", _xlfn.XLOOKUP(C205, Members!B$3:XFD$3, Members!B$2:XFD$2))</f>
        <v/>
      </c>
    </row>
    <row r="206" spans="4:4" x14ac:dyDescent="0.3">
      <c r="D206" t="str">
        <f>IF(C206="", "", _xlfn.XLOOKUP(C206, Members!B$3:XFD$3, Members!B$2:XFD$2))</f>
        <v/>
      </c>
    </row>
    <row r="207" spans="4:4" x14ac:dyDescent="0.3">
      <c r="D207" t="str">
        <f>IF(C207="", "", _xlfn.XLOOKUP(C207, Members!B$3:XFD$3, Members!B$2:XFD$2))</f>
        <v/>
      </c>
    </row>
    <row r="208" spans="4:4" x14ac:dyDescent="0.3">
      <c r="D208" t="str">
        <f>IF(C208="", "", _xlfn.XLOOKUP(C208, Members!B$3:XFD$3, Members!B$2:XFD$2))</f>
        <v/>
      </c>
    </row>
    <row r="209" spans="4:4" x14ac:dyDescent="0.3">
      <c r="D209" t="str">
        <f>IF(C209="", "", _xlfn.XLOOKUP(C209, Members!B$3:XFD$3, Members!B$2:XFD$2))</f>
        <v/>
      </c>
    </row>
    <row r="210" spans="4:4" x14ac:dyDescent="0.3">
      <c r="D210" t="str">
        <f>IF(C210="", "", _xlfn.XLOOKUP(C210, Members!B$3:XFD$3, Members!B$2:XFD$2))</f>
        <v/>
      </c>
    </row>
    <row r="211" spans="4:4" x14ac:dyDescent="0.3">
      <c r="D211" t="str">
        <f>IF(C211="", "", _xlfn.XLOOKUP(C211, Members!B$3:XFD$3, Members!B$2:XFD$2))</f>
        <v/>
      </c>
    </row>
    <row r="212" spans="4:4" x14ac:dyDescent="0.3">
      <c r="D212" t="str">
        <f>IF(C212="", "", _xlfn.XLOOKUP(C212, Members!B$3:XFD$3, Members!B$2:XFD$2))</f>
        <v/>
      </c>
    </row>
    <row r="213" spans="4:4" x14ac:dyDescent="0.3">
      <c r="D213" t="str">
        <f>IF(C213="", "", _xlfn.XLOOKUP(C213, Members!B$3:XFD$3, Members!B$2:XFD$2))</f>
        <v/>
      </c>
    </row>
    <row r="214" spans="4:4" x14ac:dyDescent="0.3">
      <c r="D214" t="str">
        <f>IF(C214="", "", _xlfn.XLOOKUP(C214, Members!B$3:XFD$3, Members!B$2:XFD$2))</f>
        <v/>
      </c>
    </row>
    <row r="215" spans="4:4" x14ac:dyDescent="0.3">
      <c r="D215" t="str">
        <f>IF(C215="", "", _xlfn.XLOOKUP(C215, Members!B$3:XFD$3, Members!B$2:XFD$2))</f>
        <v/>
      </c>
    </row>
    <row r="216" spans="4:4" x14ac:dyDescent="0.3">
      <c r="D216" t="str">
        <f>IF(C216="", "", _xlfn.XLOOKUP(C216, Members!B$3:XFD$3, Members!B$2:XFD$2))</f>
        <v/>
      </c>
    </row>
    <row r="217" spans="4:4" x14ac:dyDescent="0.3">
      <c r="D217" t="str">
        <f>IF(C217="", "", _xlfn.XLOOKUP(C217, Members!B$3:XFD$3, Members!B$2:XFD$2))</f>
        <v/>
      </c>
    </row>
    <row r="218" spans="4:4" x14ac:dyDescent="0.3">
      <c r="D218" t="str">
        <f>IF(C218="", "", _xlfn.XLOOKUP(C218, Members!B$3:XFD$3, Members!B$2:XFD$2))</f>
        <v/>
      </c>
    </row>
    <row r="219" spans="4:4" x14ac:dyDescent="0.3">
      <c r="D219" t="str">
        <f>IF(C219="", "", _xlfn.XLOOKUP(C219, Members!B$3:XFD$3, Members!B$2:XFD$2))</f>
        <v/>
      </c>
    </row>
    <row r="220" spans="4:4" x14ac:dyDescent="0.3">
      <c r="D220" t="str">
        <f>IF(C220="", "", _xlfn.XLOOKUP(C220, Members!B$3:XFD$3, Members!B$2:XFD$2))</f>
        <v/>
      </c>
    </row>
    <row r="221" spans="4:4" x14ac:dyDescent="0.3">
      <c r="D221" t="str">
        <f>IF(C221="", "", _xlfn.XLOOKUP(C221, Members!B$3:XFD$3, Members!B$2:XFD$2))</f>
        <v/>
      </c>
    </row>
    <row r="222" spans="4:4" x14ac:dyDescent="0.3">
      <c r="D222" t="str">
        <f>IF(C222="", "", _xlfn.XLOOKUP(C222, Members!B$3:XFD$3, Members!B$2:XFD$2))</f>
        <v/>
      </c>
    </row>
    <row r="223" spans="4:4" x14ac:dyDescent="0.3">
      <c r="D223" t="str">
        <f>IF(C223="", "", _xlfn.XLOOKUP(C223, Members!B$3:XFD$3, Members!B$2:XFD$2))</f>
        <v/>
      </c>
    </row>
    <row r="224" spans="4:4" x14ac:dyDescent="0.3">
      <c r="D224" t="str">
        <f>IF(C224="", "", _xlfn.XLOOKUP(C224, Members!B$3:XFD$3, Members!B$2:XFD$2))</f>
        <v/>
      </c>
    </row>
    <row r="225" spans="4:4" x14ac:dyDescent="0.3">
      <c r="D225" t="str">
        <f>IF(C225="", "", _xlfn.XLOOKUP(C225, Members!B$3:XFD$3, Members!B$2:XFD$2))</f>
        <v/>
      </c>
    </row>
    <row r="226" spans="4:4" x14ac:dyDescent="0.3">
      <c r="D226" t="str">
        <f>IF(C226="", "", _xlfn.XLOOKUP(C226, Members!B$3:XFD$3, Members!B$2:XFD$2))</f>
        <v/>
      </c>
    </row>
    <row r="227" spans="4:4" x14ac:dyDescent="0.3">
      <c r="D227" t="str">
        <f>IF(C227="", "", _xlfn.XLOOKUP(C227, Members!B$3:XFD$3, Members!B$2:XFD$2))</f>
        <v/>
      </c>
    </row>
    <row r="228" spans="4:4" x14ac:dyDescent="0.3">
      <c r="D228" t="str">
        <f>IF(C228="", "", _xlfn.XLOOKUP(C228, Members!B$3:XFD$3, Members!B$2:XFD$2))</f>
        <v/>
      </c>
    </row>
    <row r="229" spans="4:4" x14ac:dyDescent="0.3">
      <c r="D229" t="str">
        <f>IF(C229="", "", _xlfn.XLOOKUP(C229, Members!B$3:XFD$3, Members!B$2:XFD$2))</f>
        <v/>
      </c>
    </row>
    <row r="230" spans="4:4" x14ac:dyDescent="0.3">
      <c r="D230" t="str">
        <f>IF(C230="", "", _xlfn.XLOOKUP(C230, Members!B$3:XFD$3, Members!B$2:XFD$2))</f>
        <v/>
      </c>
    </row>
    <row r="231" spans="4:4" x14ac:dyDescent="0.3">
      <c r="D231" t="str">
        <f>IF(C231="", "", _xlfn.XLOOKUP(C231, Members!B$3:XFD$3, Members!B$2:XFD$2))</f>
        <v/>
      </c>
    </row>
    <row r="232" spans="4:4" x14ac:dyDescent="0.3">
      <c r="D232" t="str">
        <f>IF(C232="", "", _xlfn.XLOOKUP(C232, Members!B$3:XFD$3, Members!B$2:XFD$2))</f>
        <v/>
      </c>
    </row>
    <row r="233" spans="4:4" x14ac:dyDescent="0.3">
      <c r="D233" t="str">
        <f>IF(C233="", "", _xlfn.XLOOKUP(C233, Members!B$3:XFD$3, Members!B$2:XFD$2))</f>
        <v/>
      </c>
    </row>
    <row r="234" spans="4:4" x14ac:dyDescent="0.3">
      <c r="D234" t="str">
        <f>IF(C234="", "", _xlfn.XLOOKUP(C234, Members!B$3:XFD$3, Members!B$2:XFD$2))</f>
        <v/>
      </c>
    </row>
    <row r="235" spans="4:4" x14ac:dyDescent="0.3">
      <c r="D235" t="str">
        <f>IF(C235="", "", _xlfn.XLOOKUP(C235, Members!B$3:XFD$3, Members!B$2:XFD$2))</f>
        <v/>
      </c>
    </row>
    <row r="236" spans="4:4" x14ac:dyDescent="0.3">
      <c r="D236" t="str">
        <f>IF(C236="", "", _xlfn.XLOOKUP(C236, Members!B$3:XFD$3, Members!B$2:XFD$2))</f>
        <v/>
      </c>
    </row>
    <row r="237" spans="4:4" x14ac:dyDescent="0.3">
      <c r="D237" t="str">
        <f>IF(C237="", "", _xlfn.XLOOKUP(C237, Members!B$3:XFD$3, Members!B$2:XFD$2))</f>
        <v/>
      </c>
    </row>
    <row r="238" spans="4:4" x14ac:dyDescent="0.3">
      <c r="D238" t="str">
        <f>IF(C238="", "", _xlfn.XLOOKUP(C238, Members!B$3:XFD$3, Members!B$2:XFD$2))</f>
        <v/>
      </c>
    </row>
    <row r="239" spans="4:4" x14ac:dyDescent="0.3">
      <c r="D239" t="str">
        <f>IF(C239="", "", _xlfn.XLOOKUP(C239, Members!B$3:XFD$3, Members!B$2:XFD$2))</f>
        <v/>
      </c>
    </row>
    <row r="240" spans="4:4" x14ac:dyDescent="0.3">
      <c r="D240" t="str">
        <f>IF(C240="", "", _xlfn.XLOOKUP(C240, Members!B$3:XFD$3, Members!B$2:XFD$2))</f>
        <v/>
      </c>
    </row>
    <row r="241" spans="4:4" x14ac:dyDescent="0.3">
      <c r="D241" t="str">
        <f>IF(C241="", "", _xlfn.XLOOKUP(C241, Members!B$3:XFD$3, Members!B$2:XFD$2))</f>
        <v/>
      </c>
    </row>
    <row r="242" spans="4:4" x14ac:dyDescent="0.3">
      <c r="D242" t="str">
        <f>IF(C242="", "", _xlfn.XLOOKUP(C242, Members!B$3:XFD$3, Members!B$2:XFD$2))</f>
        <v/>
      </c>
    </row>
    <row r="243" spans="4:4" x14ac:dyDescent="0.3">
      <c r="D243" t="str">
        <f>IF(C243="", "", _xlfn.XLOOKUP(C243, Members!B$3:XFD$3, Members!B$2:XFD$2))</f>
        <v/>
      </c>
    </row>
    <row r="244" spans="4:4" x14ac:dyDescent="0.3">
      <c r="D244" t="str">
        <f>IF(C244="", "", _xlfn.XLOOKUP(C244, Members!B$3:XFD$3, Members!B$2:XFD$2))</f>
        <v/>
      </c>
    </row>
    <row r="245" spans="4:4" x14ac:dyDescent="0.3">
      <c r="D245" t="str">
        <f>IF(C245="", "", _xlfn.XLOOKUP(C245, Members!B$3:XFD$3, Members!B$2:XFD$2))</f>
        <v/>
      </c>
    </row>
    <row r="246" spans="4:4" x14ac:dyDescent="0.3">
      <c r="D246" t="str">
        <f>IF(C246="", "", _xlfn.XLOOKUP(C246, Members!B$3:XFD$3, Members!B$2:XFD$2))</f>
        <v/>
      </c>
    </row>
    <row r="247" spans="4:4" x14ac:dyDescent="0.3">
      <c r="D247" t="str">
        <f>IF(C247="", "", _xlfn.XLOOKUP(C247, Members!B$3:XFD$3, Members!B$2:XFD$2))</f>
        <v/>
      </c>
    </row>
    <row r="248" spans="4:4" x14ac:dyDescent="0.3">
      <c r="D248" t="str">
        <f>IF(C248="", "", _xlfn.XLOOKUP(C248, Members!B$3:XFD$3, Members!B$2:XFD$2))</f>
        <v/>
      </c>
    </row>
    <row r="249" spans="4:4" x14ac:dyDescent="0.3">
      <c r="D249" t="str">
        <f>IF(C249="", "", _xlfn.XLOOKUP(C249, Members!B$3:XFD$3, Members!B$2:XFD$2))</f>
        <v/>
      </c>
    </row>
    <row r="250" spans="4:4" x14ac:dyDescent="0.3">
      <c r="D250" t="str">
        <f>IF(C250="", "", _xlfn.XLOOKUP(C250, Members!B$3:XFD$3, Members!B$2:XFD$2))</f>
        <v/>
      </c>
    </row>
    <row r="251" spans="4:4" x14ac:dyDescent="0.3">
      <c r="D251" t="str">
        <f>IF(C251="", "", _xlfn.XLOOKUP(C251, Members!B$3:XFD$3, Members!B$2:XFD$2))</f>
        <v/>
      </c>
    </row>
    <row r="252" spans="4:4" x14ac:dyDescent="0.3">
      <c r="D252" t="str">
        <f>IF(C252="", "", _xlfn.XLOOKUP(C252, Members!B$3:XFD$3, Members!B$2:XFD$2))</f>
        <v/>
      </c>
    </row>
    <row r="253" spans="4:4" x14ac:dyDescent="0.3">
      <c r="D253" t="str">
        <f>IF(C253="", "", _xlfn.XLOOKUP(C253, Members!B$3:XFD$3, Members!B$2:XFD$2))</f>
        <v/>
      </c>
    </row>
    <row r="254" spans="4:4" x14ac:dyDescent="0.3">
      <c r="D254" t="str">
        <f>IF(C254="", "", _xlfn.XLOOKUP(C254, Members!B$3:XFD$3, Members!B$2:XFD$2))</f>
        <v/>
      </c>
    </row>
    <row r="255" spans="4:4" x14ac:dyDescent="0.3">
      <c r="D255" t="str">
        <f>IF(C255="", "", _xlfn.XLOOKUP(C255, Members!B$3:XFD$3, Members!B$2:XFD$2))</f>
        <v/>
      </c>
    </row>
    <row r="256" spans="4:4" x14ac:dyDescent="0.3">
      <c r="D256" t="str">
        <f>IF(C256="", "", _xlfn.XLOOKUP(C256, Members!B$3:XFD$3, Members!B$2:XFD$2))</f>
        <v/>
      </c>
    </row>
    <row r="257" spans="4:4" x14ac:dyDescent="0.3">
      <c r="D257" t="str">
        <f>IF(C257="", "", _xlfn.XLOOKUP(C257, Members!B$3:XFD$3, Members!B$2:XFD$2))</f>
        <v/>
      </c>
    </row>
    <row r="258" spans="4:4" x14ac:dyDescent="0.3">
      <c r="D258" t="str">
        <f>IF(C258="", "", _xlfn.XLOOKUP(C258, Members!B$3:XFD$3, Members!B$2:XFD$2))</f>
        <v/>
      </c>
    </row>
    <row r="259" spans="4:4" x14ac:dyDescent="0.3">
      <c r="D259" t="str">
        <f>IF(C259="", "", _xlfn.XLOOKUP(C259, Members!B$3:XFD$3, Members!B$2:XFD$2))</f>
        <v/>
      </c>
    </row>
    <row r="260" spans="4:4" x14ac:dyDescent="0.3">
      <c r="D260" t="str">
        <f>IF(C260="", "", _xlfn.XLOOKUP(C260, Members!B$3:XFD$3, Members!B$2:XFD$2))</f>
        <v/>
      </c>
    </row>
    <row r="261" spans="4:4" x14ac:dyDescent="0.3">
      <c r="D261" t="str">
        <f>IF(C261="", "", _xlfn.XLOOKUP(C261, Members!B$3:XFD$3, Members!B$2:XFD$2))</f>
        <v/>
      </c>
    </row>
    <row r="262" spans="4:4" x14ac:dyDescent="0.3">
      <c r="D262" t="str">
        <f>IF(C262="", "", _xlfn.XLOOKUP(C262, Members!B$3:XFD$3, Members!B$2:XFD$2))</f>
        <v/>
      </c>
    </row>
    <row r="263" spans="4:4" x14ac:dyDescent="0.3">
      <c r="D263" t="str">
        <f>IF(C263="", "", _xlfn.XLOOKUP(C263, Members!B$3:XFD$3, Members!B$2:XFD$2))</f>
        <v/>
      </c>
    </row>
    <row r="264" spans="4:4" x14ac:dyDescent="0.3">
      <c r="D264" t="str">
        <f>IF(C264="", "", _xlfn.XLOOKUP(C264, Members!B$3:XFD$3, Members!B$2:XFD$2))</f>
        <v/>
      </c>
    </row>
    <row r="265" spans="4:4" x14ac:dyDescent="0.3">
      <c r="D265" t="str">
        <f>IF(C265="", "", _xlfn.XLOOKUP(C265, Members!B$3:XFD$3, Members!B$2:XFD$2))</f>
        <v/>
      </c>
    </row>
    <row r="266" spans="4:4" x14ac:dyDescent="0.3">
      <c r="D266" t="str">
        <f>IF(C266="", "", _xlfn.XLOOKUP(C266, Members!B$3:XFD$3, Members!B$2:XFD$2))</f>
        <v/>
      </c>
    </row>
    <row r="267" spans="4:4" x14ac:dyDescent="0.3">
      <c r="D267" t="str">
        <f>IF(C267="", "", _xlfn.XLOOKUP(C267, Members!B$3:XFD$3, Members!B$2:XFD$2))</f>
        <v/>
      </c>
    </row>
    <row r="268" spans="4:4" x14ac:dyDescent="0.3">
      <c r="D268" t="str">
        <f>IF(C268="", "", _xlfn.XLOOKUP(C268, Members!B$3:XFD$3, Members!B$2:XFD$2))</f>
        <v/>
      </c>
    </row>
    <row r="269" spans="4:4" x14ac:dyDescent="0.3">
      <c r="D269" t="str">
        <f>IF(C269="", "", _xlfn.XLOOKUP(C269, Members!B$3:XFD$3, Members!B$2:XFD$2))</f>
        <v/>
      </c>
    </row>
    <row r="270" spans="4:4" x14ac:dyDescent="0.3">
      <c r="D270" t="str">
        <f>IF(C270="", "", _xlfn.XLOOKUP(C270, Members!B$3:XFD$3, Members!B$2:XFD$2))</f>
        <v/>
      </c>
    </row>
    <row r="271" spans="4:4" x14ac:dyDescent="0.3">
      <c r="D271" t="str">
        <f>IF(C271="", "", _xlfn.XLOOKUP(C271, Members!B$3:XFD$3, Members!B$2:XFD$2))</f>
        <v/>
      </c>
    </row>
    <row r="272" spans="4:4" x14ac:dyDescent="0.3">
      <c r="D272" t="str">
        <f>IF(C272="", "", _xlfn.XLOOKUP(C272, Members!B$3:XFD$3, Members!B$2:XFD$2))</f>
        <v/>
      </c>
    </row>
    <row r="273" spans="4:4" x14ac:dyDescent="0.3">
      <c r="D273" t="str">
        <f>IF(C273="", "", _xlfn.XLOOKUP(C273, Members!B$3:XFD$3, Members!B$2:XFD$2))</f>
        <v/>
      </c>
    </row>
    <row r="274" spans="4:4" x14ac:dyDescent="0.3">
      <c r="D274" t="str">
        <f>IF(C274="", "", _xlfn.XLOOKUP(C274, Members!B$3:XFD$3, Members!B$2:XFD$2))</f>
        <v/>
      </c>
    </row>
    <row r="275" spans="4:4" x14ac:dyDescent="0.3">
      <c r="D275" t="str">
        <f>IF(C275="", "", _xlfn.XLOOKUP(C275, Members!B$3:XFD$3, Members!B$2:XFD$2))</f>
        <v/>
      </c>
    </row>
    <row r="276" spans="4:4" x14ac:dyDescent="0.3">
      <c r="D276" t="str">
        <f>IF(C276="", "", _xlfn.XLOOKUP(C276, Members!B$3:XFD$3, Members!B$2:XFD$2))</f>
        <v/>
      </c>
    </row>
    <row r="277" spans="4:4" x14ac:dyDescent="0.3">
      <c r="D277" t="str">
        <f>IF(C277="", "", _xlfn.XLOOKUP(C277, Members!B$3:XFD$3, Members!B$2:XFD$2))</f>
        <v/>
      </c>
    </row>
    <row r="278" spans="4:4" x14ac:dyDescent="0.3">
      <c r="D278" t="str">
        <f>IF(C278="", "", _xlfn.XLOOKUP(C278, Members!B$3:XFD$3, Members!B$2:XFD$2))</f>
        <v/>
      </c>
    </row>
    <row r="279" spans="4:4" x14ac:dyDescent="0.3">
      <c r="D279" t="str">
        <f>IF(C279="", "", _xlfn.XLOOKUP(C279, Members!B$3:XFD$3, Members!B$2:XFD$2))</f>
        <v/>
      </c>
    </row>
    <row r="280" spans="4:4" x14ac:dyDescent="0.3">
      <c r="D280" t="str">
        <f>IF(C280="", "", _xlfn.XLOOKUP(C280, Members!B$3:XFD$3, Members!B$2:XFD$2))</f>
        <v/>
      </c>
    </row>
    <row r="281" spans="4:4" x14ac:dyDescent="0.3">
      <c r="D281" t="str">
        <f>IF(C281="", "", _xlfn.XLOOKUP(C281, Members!B$3:XFD$3, Members!B$2:XFD$2))</f>
        <v/>
      </c>
    </row>
    <row r="282" spans="4:4" x14ac:dyDescent="0.3">
      <c r="D282" t="str">
        <f>IF(C282="", "", _xlfn.XLOOKUP(C282, Members!B$3:XFD$3, Members!B$2:XFD$2))</f>
        <v/>
      </c>
    </row>
    <row r="283" spans="4:4" x14ac:dyDescent="0.3">
      <c r="D283" t="str">
        <f>IF(C283="", "", _xlfn.XLOOKUP(C283, Members!B$3:XFD$3, Members!B$2:XFD$2))</f>
        <v/>
      </c>
    </row>
    <row r="284" spans="4:4" x14ac:dyDescent="0.3">
      <c r="D284" t="str">
        <f>IF(C284="", "", _xlfn.XLOOKUP(C284, Members!B$3:XFD$3, Members!B$2:XFD$2))</f>
        <v/>
      </c>
    </row>
    <row r="285" spans="4:4" x14ac:dyDescent="0.3">
      <c r="D285" t="str">
        <f>IF(C285="", "", _xlfn.XLOOKUP(C285, Members!B$3:XFD$3, Members!B$2:XFD$2))</f>
        <v/>
      </c>
    </row>
    <row r="286" spans="4:4" x14ac:dyDescent="0.3">
      <c r="D286" t="str">
        <f>IF(C286="", "", _xlfn.XLOOKUP(C286, Members!B$3:XFD$3, Members!B$2:XFD$2))</f>
        <v/>
      </c>
    </row>
    <row r="287" spans="4:4" x14ac:dyDescent="0.3">
      <c r="D287" t="str">
        <f>IF(C287="", "", _xlfn.XLOOKUP(C287, Members!B$3:XFD$3, Members!B$2:XFD$2))</f>
        <v/>
      </c>
    </row>
    <row r="288" spans="4:4" x14ac:dyDescent="0.3">
      <c r="D288" t="str">
        <f>IF(C288="", "", _xlfn.XLOOKUP(C288, Members!B$3:XFD$3, Members!B$2:XFD$2))</f>
        <v/>
      </c>
    </row>
    <row r="289" spans="4:4" x14ac:dyDescent="0.3">
      <c r="D289" t="str">
        <f>IF(C289="", "", _xlfn.XLOOKUP(C289, Members!B$3:XFD$3, Members!B$2:XFD$2))</f>
        <v/>
      </c>
    </row>
    <row r="290" spans="4:4" x14ac:dyDescent="0.3">
      <c r="D290" t="str">
        <f>IF(C290="", "", _xlfn.XLOOKUP(C290, Members!B$3:XFD$3, Members!B$2:XFD$2))</f>
        <v/>
      </c>
    </row>
    <row r="291" spans="4:4" x14ac:dyDescent="0.3">
      <c r="D291" t="str">
        <f>IF(C291="", "", _xlfn.XLOOKUP(C291, Members!B$3:XFD$3, Members!B$2:XFD$2))</f>
        <v/>
      </c>
    </row>
    <row r="292" spans="4:4" x14ac:dyDescent="0.3">
      <c r="D292" t="str">
        <f>IF(C292="", "", _xlfn.XLOOKUP(C292, Members!B$3:XFD$3, Members!B$2:XFD$2))</f>
        <v/>
      </c>
    </row>
    <row r="293" spans="4:4" x14ac:dyDescent="0.3">
      <c r="D293" t="str">
        <f>IF(C293="", "", _xlfn.XLOOKUP(C293, Members!B$3:XFD$3, Members!B$2:XFD$2))</f>
        <v/>
      </c>
    </row>
    <row r="294" spans="4:4" x14ac:dyDescent="0.3">
      <c r="D294" t="str">
        <f>IF(C294="", "", _xlfn.XLOOKUP(C294, Members!B$3:XFD$3, Members!B$2:XFD$2))</f>
        <v/>
      </c>
    </row>
    <row r="295" spans="4:4" x14ac:dyDescent="0.3">
      <c r="D295" t="str">
        <f>IF(C295="", "", _xlfn.XLOOKUP(C295, Members!B$3:XFD$3, Members!B$2:XFD$2))</f>
        <v/>
      </c>
    </row>
    <row r="296" spans="4:4" x14ac:dyDescent="0.3">
      <c r="D296" t="str">
        <f>IF(C296="", "", _xlfn.XLOOKUP(C296, Members!B$3:XFD$3, Members!B$2:XFD$2))</f>
        <v/>
      </c>
    </row>
    <row r="297" spans="4:4" x14ac:dyDescent="0.3">
      <c r="D297" t="str">
        <f>IF(C297="", "", _xlfn.XLOOKUP(C297, Members!B$3:XFD$3, Members!B$2:XFD$2))</f>
        <v/>
      </c>
    </row>
    <row r="298" spans="4:4" x14ac:dyDescent="0.3">
      <c r="D298" t="str">
        <f>IF(C298="", "", _xlfn.XLOOKUP(C298, Members!B$3:XFD$3, Members!B$2:XFD$2))</f>
        <v/>
      </c>
    </row>
    <row r="299" spans="4:4" x14ac:dyDescent="0.3">
      <c r="D299" t="str">
        <f>IF(C299="", "", _xlfn.XLOOKUP(C299, Members!B$3:XFD$3, Members!B$2:XFD$2))</f>
        <v/>
      </c>
    </row>
    <row r="300" spans="4:4" x14ac:dyDescent="0.3">
      <c r="D300" t="str">
        <f>IF(C300="", "", _xlfn.XLOOKUP(C300, Members!B$3:XFD$3, Members!B$2:XFD$2))</f>
        <v/>
      </c>
    </row>
    <row r="301" spans="4:4" x14ac:dyDescent="0.3">
      <c r="D301" t="str">
        <f>IF(C301="", "", _xlfn.XLOOKUP(C301, Members!B$3:XFD$3, Members!B$2:XFD$2))</f>
        <v/>
      </c>
    </row>
    <row r="302" spans="4:4" x14ac:dyDescent="0.3">
      <c r="D302" t="str">
        <f>IF(C302="", "", _xlfn.XLOOKUP(C302, Members!B$3:XFD$3, Members!B$2:XFD$2))</f>
        <v/>
      </c>
    </row>
    <row r="303" spans="4:4" x14ac:dyDescent="0.3">
      <c r="D303" t="str">
        <f>IF(C303="", "", _xlfn.XLOOKUP(C303, Members!B$3:XFD$3, Members!B$2:XFD$2))</f>
        <v/>
      </c>
    </row>
    <row r="304" spans="4:4" x14ac:dyDescent="0.3">
      <c r="D304" t="str">
        <f>IF(C304="", "", _xlfn.XLOOKUP(C304, Members!B$3:XFD$3, Members!B$2:XFD$2))</f>
        <v/>
      </c>
    </row>
    <row r="305" spans="4:4" x14ac:dyDescent="0.3">
      <c r="D305" t="str">
        <f>IF(C305="", "", _xlfn.XLOOKUP(C305, Members!B$3:XFD$3, Members!B$2:XFD$2))</f>
        <v/>
      </c>
    </row>
    <row r="306" spans="4:4" x14ac:dyDescent="0.3">
      <c r="D306" t="str">
        <f>IF(C306="", "", _xlfn.XLOOKUP(C306, Members!B$3:XFD$3, Members!B$2:XFD$2))</f>
        <v/>
      </c>
    </row>
    <row r="307" spans="4:4" x14ac:dyDescent="0.3">
      <c r="D307" t="str">
        <f>IF(C307="", "", _xlfn.XLOOKUP(C307, Members!B$3:XFD$3, Members!B$2:XFD$2))</f>
        <v/>
      </c>
    </row>
    <row r="308" spans="4:4" x14ac:dyDescent="0.3">
      <c r="D308" t="str">
        <f>IF(C308="", "", _xlfn.XLOOKUP(C308, Members!B$3:XFD$3, Members!B$2:XFD$2))</f>
        <v/>
      </c>
    </row>
    <row r="309" spans="4:4" x14ac:dyDescent="0.3">
      <c r="D309" t="str">
        <f>IF(C309="", "", _xlfn.XLOOKUP(C309, Members!B$3:XFD$3, Members!B$2:XFD$2))</f>
        <v/>
      </c>
    </row>
    <row r="310" spans="4:4" x14ac:dyDescent="0.3">
      <c r="D310" t="str">
        <f>IF(C310="", "", _xlfn.XLOOKUP(C310, Members!B$3:XFD$3, Members!B$2:XFD$2))</f>
        <v/>
      </c>
    </row>
    <row r="311" spans="4:4" x14ac:dyDescent="0.3">
      <c r="D311" t="str">
        <f>IF(C311="", "", _xlfn.XLOOKUP(C311, Members!B$3:XFD$3, Members!B$2:XFD$2))</f>
        <v/>
      </c>
    </row>
    <row r="312" spans="4:4" x14ac:dyDescent="0.3">
      <c r="D312" t="str">
        <f>IF(C312="", "", _xlfn.XLOOKUP(C312, Members!B$3:XFD$3, Members!B$2:XFD$2))</f>
        <v/>
      </c>
    </row>
    <row r="313" spans="4:4" x14ac:dyDescent="0.3">
      <c r="D313" t="str">
        <f>IF(C313="", "", _xlfn.XLOOKUP(C313, Members!B$3:XFD$3, Members!B$2:XFD$2))</f>
        <v/>
      </c>
    </row>
    <row r="314" spans="4:4" x14ac:dyDescent="0.3">
      <c r="D314" t="str">
        <f>IF(C314="", "", _xlfn.XLOOKUP(C314, Members!B$3:XFD$3, Members!B$2:XFD$2))</f>
        <v/>
      </c>
    </row>
    <row r="315" spans="4:4" x14ac:dyDescent="0.3">
      <c r="D315" t="str">
        <f>IF(C315="", "", _xlfn.XLOOKUP(C315, Members!B$3:XFD$3, Members!B$2:XFD$2))</f>
        <v/>
      </c>
    </row>
    <row r="316" spans="4:4" x14ac:dyDescent="0.3">
      <c r="D316" t="str">
        <f>IF(C316="", "", _xlfn.XLOOKUP(C316, Members!B$3:XFD$3, Members!B$2:XFD$2))</f>
        <v/>
      </c>
    </row>
    <row r="317" spans="4:4" x14ac:dyDescent="0.3">
      <c r="D317" t="str">
        <f>IF(C317="", "", _xlfn.XLOOKUP(C317, Members!B$3:XFD$3, Members!B$2:XFD$2))</f>
        <v/>
      </c>
    </row>
    <row r="318" spans="4:4" x14ac:dyDescent="0.3">
      <c r="D318" t="str">
        <f>IF(C318="", "", _xlfn.XLOOKUP(C318, Members!B$3:XFD$3, Members!B$2:XFD$2))</f>
        <v/>
      </c>
    </row>
    <row r="319" spans="4:4" x14ac:dyDescent="0.3">
      <c r="D319" t="str">
        <f>IF(C319="", "", _xlfn.XLOOKUP(C319, Members!B$3:XFD$3, Members!B$2:XFD$2))</f>
        <v/>
      </c>
    </row>
    <row r="320" spans="4:4" x14ac:dyDescent="0.3">
      <c r="D320" t="str">
        <f>IF(C320="", "", _xlfn.XLOOKUP(C320, Members!B$3:XFD$3, Members!B$2:XFD$2))</f>
        <v/>
      </c>
    </row>
    <row r="321" spans="4:4" x14ac:dyDescent="0.3">
      <c r="D321" t="str">
        <f>IF(C321="", "", _xlfn.XLOOKUP(C321, Members!B$3:XFD$3, Members!B$2:XFD$2))</f>
        <v/>
      </c>
    </row>
    <row r="322" spans="4:4" x14ac:dyDescent="0.3">
      <c r="D322" t="str">
        <f>IF(C322="", "", _xlfn.XLOOKUP(C322, Members!B$3:XFD$3, Members!B$2:XFD$2))</f>
        <v/>
      </c>
    </row>
    <row r="323" spans="4:4" x14ac:dyDescent="0.3">
      <c r="D323" t="str">
        <f>IF(C323="", "", _xlfn.XLOOKUP(C323, Members!B$3:XFD$3, Members!B$2:XFD$2))</f>
        <v/>
      </c>
    </row>
    <row r="324" spans="4:4" x14ac:dyDescent="0.3">
      <c r="D324" t="str">
        <f>IF(C324="", "", _xlfn.XLOOKUP(C324, Members!B$3:XFD$3, Members!B$2:XFD$2))</f>
        <v/>
      </c>
    </row>
    <row r="325" spans="4:4" x14ac:dyDescent="0.3">
      <c r="D325" t="str">
        <f>IF(C325="", "", _xlfn.XLOOKUP(C325, Members!B$3:XFD$3, Members!B$2:XFD$2))</f>
        <v/>
      </c>
    </row>
    <row r="326" spans="4:4" x14ac:dyDescent="0.3">
      <c r="D326" t="str">
        <f>IF(C326="", "", _xlfn.XLOOKUP(C326, Members!B$3:XFD$3, Members!B$2:XFD$2))</f>
        <v/>
      </c>
    </row>
    <row r="327" spans="4:4" x14ac:dyDescent="0.3">
      <c r="D327" t="str">
        <f>IF(C327="", "", _xlfn.XLOOKUP(C327, Members!B$3:XFD$3, Members!B$2:XFD$2))</f>
        <v/>
      </c>
    </row>
    <row r="328" spans="4:4" x14ac:dyDescent="0.3">
      <c r="D328" t="str">
        <f>IF(C328="", "", _xlfn.XLOOKUP(C328, Members!B$3:XFD$3, Members!B$2:XFD$2))</f>
        <v/>
      </c>
    </row>
    <row r="329" spans="4:4" x14ac:dyDescent="0.3">
      <c r="D329" t="str">
        <f>IF(C329="", "", _xlfn.XLOOKUP(C329, Members!B$3:XFD$3, Members!B$2:XFD$2))</f>
        <v/>
      </c>
    </row>
    <row r="330" spans="4:4" x14ac:dyDescent="0.3">
      <c r="D330" t="str">
        <f>IF(C330="", "", _xlfn.XLOOKUP(C330, Members!B$3:XFD$3, Members!B$2:XFD$2))</f>
        <v/>
      </c>
    </row>
    <row r="331" spans="4:4" x14ac:dyDescent="0.3">
      <c r="D331" t="str">
        <f>IF(C331="", "", _xlfn.XLOOKUP(C331, Members!B$3:XFD$3, Members!B$2:XFD$2))</f>
        <v/>
      </c>
    </row>
    <row r="332" spans="4:4" x14ac:dyDescent="0.3">
      <c r="D332" t="str">
        <f>IF(C332="", "", _xlfn.XLOOKUP(C332, Members!B$3:XFD$3, Members!B$2:XFD$2))</f>
        <v/>
      </c>
    </row>
    <row r="333" spans="4:4" x14ac:dyDescent="0.3">
      <c r="D333" t="str">
        <f>IF(C333="", "", _xlfn.XLOOKUP(C333, Members!B$3:XFD$3, Members!B$2:XFD$2))</f>
        <v/>
      </c>
    </row>
    <row r="334" spans="4:4" x14ac:dyDescent="0.3">
      <c r="D334" t="str">
        <f>IF(C334="", "", _xlfn.XLOOKUP(C334, Members!B$3:XFD$3, Members!B$2:XFD$2))</f>
        <v/>
      </c>
    </row>
    <row r="335" spans="4:4" x14ac:dyDescent="0.3">
      <c r="D335" t="str">
        <f>IF(C335="", "", _xlfn.XLOOKUP(C335, Members!B$3:XFD$3, Members!B$2:XFD$2))</f>
        <v/>
      </c>
    </row>
    <row r="336" spans="4:4" x14ac:dyDescent="0.3">
      <c r="D336" t="str">
        <f>IF(C336="", "", _xlfn.XLOOKUP(C336, Members!B$3:XFD$3, Members!B$2:XFD$2))</f>
        <v/>
      </c>
    </row>
    <row r="337" spans="4:4" x14ac:dyDescent="0.3">
      <c r="D337" t="str">
        <f>IF(C337="", "", _xlfn.XLOOKUP(C337, Members!B$3:XFD$3, Members!B$2:XFD$2))</f>
        <v/>
      </c>
    </row>
    <row r="338" spans="4:4" x14ac:dyDescent="0.3">
      <c r="D338" t="str">
        <f>IF(C338="", "", _xlfn.XLOOKUP(C338, Members!B$3:XFD$3, Members!B$2:XFD$2))</f>
        <v/>
      </c>
    </row>
    <row r="339" spans="4:4" x14ac:dyDescent="0.3">
      <c r="D339" t="str">
        <f>IF(C339="", "", _xlfn.XLOOKUP(C339, Members!B$3:XFD$3, Members!B$2:XFD$2))</f>
        <v/>
      </c>
    </row>
    <row r="340" spans="4:4" x14ac:dyDescent="0.3">
      <c r="D340" t="str">
        <f>IF(C340="", "", _xlfn.XLOOKUP(C340, Members!B$3:XFD$3, Members!B$2:XFD$2))</f>
        <v/>
      </c>
    </row>
    <row r="341" spans="4:4" x14ac:dyDescent="0.3">
      <c r="D341" t="str">
        <f>IF(C341="", "", _xlfn.XLOOKUP(C341, Members!B$3:XFD$3, Members!B$2:XFD$2))</f>
        <v/>
      </c>
    </row>
    <row r="342" spans="4:4" x14ac:dyDescent="0.3">
      <c r="D342" t="str">
        <f>IF(C342="", "", _xlfn.XLOOKUP(C342, Members!B$3:XFD$3, Members!B$2:XFD$2))</f>
        <v/>
      </c>
    </row>
    <row r="343" spans="4:4" x14ac:dyDescent="0.3">
      <c r="D343" t="str">
        <f>IF(C343="", "", _xlfn.XLOOKUP(C343, Members!B$3:XFD$3, Members!B$2:XFD$2))</f>
        <v/>
      </c>
    </row>
    <row r="344" spans="4:4" x14ac:dyDescent="0.3">
      <c r="D344" t="str">
        <f>IF(C344="", "", _xlfn.XLOOKUP(C344, Members!B$3:XFD$3, Members!B$2:XFD$2))</f>
        <v/>
      </c>
    </row>
    <row r="345" spans="4:4" x14ac:dyDescent="0.3">
      <c r="D345" t="str">
        <f>IF(C345="", "", _xlfn.XLOOKUP(C345, Members!B$3:XFD$3, Members!B$2:XFD$2))</f>
        <v/>
      </c>
    </row>
    <row r="346" spans="4:4" x14ac:dyDescent="0.3">
      <c r="D346" t="str">
        <f>IF(C346="", "", _xlfn.XLOOKUP(C346, Members!B$3:XFD$3, Members!B$2:XFD$2))</f>
        <v/>
      </c>
    </row>
    <row r="347" spans="4:4" x14ac:dyDescent="0.3">
      <c r="D347" t="str">
        <f>IF(C347="", "", _xlfn.XLOOKUP(C347, Members!B$3:XFD$3, Members!B$2:XFD$2))</f>
        <v/>
      </c>
    </row>
    <row r="348" spans="4:4" x14ac:dyDescent="0.3">
      <c r="D348" t="str">
        <f>IF(C348="", "", _xlfn.XLOOKUP(C348, Members!B$3:XFD$3, Members!B$2:XFD$2))</f>
        <v/>
      </c>
    </row>
    <row r="349" spans="4:4" x14ac:dyDescent="0.3">
      <c r="D349" t="str">
        <f>IF(C349="", "", _xlfn.XLOOKUP(C349, Members!B$3:XFD$3, Members!B$2:XFD$2))</f>
        <v/>
      </c>
    </row>
    <row r="350" spans="4:4" x14ac:dyDescent="0.3">
      <c r="D350" t="str">
        <f>IF(C350="", "", _xlfn.XLOOKUP(C350, Members!B$3:XFD$3, Members!B$2:XFD$2))</f>
        <v/>
      </c>
    </row>
    <row r="351" spans="4:4" x14ac:dyDescent="0.3">
      <c r="D351" t="str">
        <f>IF(C351="", "", _xlfn.XLOOKUP(C351, Members!B$3:XFD$3, Members!B$2:XFD$2))</f>
        <v/>
      </c>
    </row>
    <row r="352" spans="4:4" x14ac:dyDescent="0.3">
      <c r="D352" t="str">
        <f>IF(C352="", "", _xlfn.XLOOKUP(C352, Members!B$3:XFD$3, Members!B$2:XFD$2))</f>
        <v/>
      </c>
    </row>
    <row r="353" spans="4:4" x14ac:dyDescent="0.3">
      <c r="D353" t="str">
        <f>IF(C353="", "", _xlfn.XLOOKUP(C353, Members!B$3:XFD$3, Members!B$2:XFD$2))</f>
        <v/>
      </c>
    </row>
    <row r="354" spans="4:4" x14ac:dyDescent="0.3">
      <c r="D354" t="str">
        <f>IF(C354="", "", _xlfn.XLOOKUP(C354, Members!B$3:XFD$3, Members!B$2:XFD$2))</f>
        <v/>
      </c>
    </row>
    <row r="355" spans="4:4" x14ac:dyDescent="0.3">
      <c r="D355" t="str">
        <f>IF(C355="", "", _xlfn.XLOOKUP(C355, Members!B$3:XFD$3, Members!B$2:XFD$2))</f>
        <v/>
      </c>
    </row>
    <row r="356" spans="4:4" x14ac:dyDescent="0.3">
      <c r="D356" t="str">
        <f>IF(C356="", "", _xlfn.XLOOKUP(C356, Members!B$3:XFD$3, Members!B$2:XFD$2))</f>
        <v/>
      </c>
    </row>
    <row r="357" spans="4:4" x14ac:dyDescent="0.3">
      <c r="D357" t="str">
        <f>IF(C357="", "", _xlfn.XLOOKUP(C357, Members!B$3:XFD$3, Members!B$2:XFD$2))</f>
        <v/>
      </c>
    </row>
    <row r="358" spans="4:4" x14ac:dyDescent="0.3">
      <c r="D358" t="str">
        <f>IF(C358="", "", _xlfn.XLOOKUP(C358, Members!B$3:XFD$3, Members!B$2:XFD$2))</f>
        <v/>
      </c>
    </row>
    <row r="359" spans="4:4" x14ac:dyDescent="0.3">
      <c r="D359" t="str">
        <f>IF(C359="", "", _xlfn.XLOOKUP(C359, Members!B$3:XFD$3, Members!B$2:XFD$2))</f>
        <v/>
      </c>
    </row>
    <row r="360" spans="4:4" x14ac:dyDescent="0.3">
      <c r="D360" t="str">
        <f>IF(C360="", "", _xlfn.XLOOKUP(C360, Members!B$3:XFD$3, Members!B$2:XFD$2))</f>
        <v/>
      </c>
    </row>
    <row r="361" spans="4:4" x14ac:dyDescent="0.3">
      <c r="D361" t="str">
        <f>IF(C361="", "", _xlfn.XLOOKUP(C361, Members!B$3:XFD$3, Members!B$2:XFD$2))</f>
        <v/>
      </c>
    </row>
    <row r="362" spans="4:4" x14ac:dyDescent="0.3">
      <c r="D362" t="str">
        <f>IF(C362="", "", _xlfn.XLOOKUP(C362, Members!B$3:XFD$3, Members!B$2:XFD$2))</f>
        <v/>
      </c>
    </row>
    <row r="363" spans="4:4" x14ac:dyDescent="0.3">
      <c r="D363" t="str">
        <f>IF(C363="", "", _xlfn.XLOOKUP(C363, Members!B$3:XFD$3, Members!B$2:XFD$2))</f>
        <v/>
      </c>
    </row>
    <row r="364" spans="4:4" x14ac:dyDescent="0.3">
      <c r="D364" t="str">
        <f>IF(C364="", "", _xlfn.XLOOKUP(C364, Members!B$3:XFD$3, Members!B$2:XFD$2))</f>
        <v/>
      </c>
    </row>
    <row r="365" spans="4:4" x14ac:dyDescent="0.3">
      <c r="D365" t="str">
        <f>IF(C365="", "", _xlfn.XLOOKUP(C365, Members!B$3:XFD$3, Members!B$2:XFD$2))</f>
        <v/>
      </c>
    </row>
    <row r="366" spans="4:4" x14ac:dyDescent="0.3">
      <c r="D366" t="str">
        <f>IF(C366="", "", _xlfn.XLOOKUP(C366, Members!B$3:XFD$3, Members!B$2:XFD$2))</f>
        <v/>
      </c>
    </row>
    <row r="367" spans="4:4" x14ac:dyDescent="0.3">
      <c r="D367" t="str">
        <f>IF(C367="", "", _xlfn.XLOOKUP(C367, Members!B$3:XFD$3, Members!B$2:XFD$2))</f>
        <v/>
      </c>
    </row>
    <row r="368" spans="4:4" x14ac:dyDescent="0.3">
      <c r="D368" t="str">
        <f>IF(C368="", "", _xlfn.XLOOKUP(C368, Members!B$3:XFD$3, Members!B$2:XFD$2))</f>
        <v/>
      </c>
    </row>
    <row r="369" spans="4:4" x14ac:dyDescent="0.3">
      <c r="D369" t="str">
        <f>IF(C369="", "", _xlfn.XLOOKUP(C369, Members!B$3:XFD$3, Members!B$2:XFD$2))</f>
        <v/>
      </c>
    </row>
    <row r="370" spans="4:4" x14ac:dyDescent="0.3">
      <c r="D370" t="str">
        <f>IF(C370="", "", _xlfn.XLOOKUP(C370, Members!B$3:XFD$3, Members!B$2:XFD$2))</f>
        <v/>
      </c>
    </row>
    <row r="371" spans="4:4" x14ac:dyDescent="0.3">
      <c r="D371" t="str">
        <f>IF(C371="", "", _xlfn.XLOOKUP(C371, Members!B$3:XFD$3, Members!B$2:XFD$2))</f>
        <v/>
      </c>
    </row>
    <row r="372" spans="4:4" x14ac:dyDescent="0.3">
      <c r="D372" t="str">
        <f>IF(C372="", "", _xlfn.XLOOKUP(C372, Members!B$3:XFD$3, Members!B$2:XFD$2))</f>
        <v/>
      </c>
    </row>
    <row r="373" spans="4:4" x14ac:dyDescent="0.3">
      <c r="D373" t="str">
        <f>IF(C373="", "", _xlfn.XLOOKUP(C373, Members!B$3:XFD$3, Members!B$2:XFD$2))</f>
        <v/>
      </c>
    </row>
    <row r="374" spans="4:4" x14ac:dyDescent="0.3">
      <c r="D374" t="str">
        <f>IF(C374="", "", _xlfn.XLOOKUP(C374, Members!B$3:XFD$3, Members!B$2:XFD$2))</f>
        <v/>
      </c>
    </row>
    <row r="375" spans="4:4" x14ac:dyDescent="0.3">
      <c r="D375" t="str">
        <f>IF(C375="", "", _xlfn.XLOOKUP(C375, Members!B$3:XFD$3, Members!B$2:XFD$2))</f>
        <v/>
      </c>
    </row>
    <row r="376" spans="4:4" x14ac:dyDescent="0.3">
      <c r="D376" t="str">
        <f>IF(C376="", "", _xlfn.XLOOKUP(C376, Members!B$3:XFD$3, Members!B$2:XFD$2))</f>
        <v/>
      </c>
    </row>
    <row r="377" spans="4:4" x14ac:dyDescent="0.3">
      <c r="D377" t="str">
        <f>IF(C377="", "", _xlfn.XLOOKUP(C377, Members!B$3:XFD$3, Members!B$2:XFD$2))</f>
        <v/>
      </c>
    </row>
    <row r="378" spans="4:4" x14ac:dyDescent="0.3">
      <c r="D378" t="str">
        <f>IF(C378="", "", _xlfn.XLOOKUP(C378, Members!B$3:XFD$3, Members!B$2:XFD$2))</f>
        <v/>
      </c>
    </row>
    <row r="379" spans="4:4" x14ac:dyDescent="0.3">
      <c r="D379" t="str">
        <f>IF(C379="", "", _xlfn.XLOOKUP(C379, Members!B$3:XFD$3, Members!B$2:XFD$2))</f>
        <v/>
      </c>
    </row>
    <row r="380" spans="4:4" x14ac:dyDescent="0.3">
      <c r="D380" t="str">
        <f>IF(C380="", "", _xlfn.XLOOKUP(C380, Members!B$3:XFD$3, Members!B$2:XFD$2))</f>
        <v/>
      </c>
    </row>
    <row r="381" spans="4:4" x14ac:dyDescent="0.3">
      <c r="D381" t="str">
        <f>IF(C381="", "", _xlfn.XLOOKUP(C381, Members!B$3:XFD$3, Members!B$2:XFD$2))</f>
        <v/>
      </c>
    </row>
    <row r="382" spans="4:4" x14ac:dyDescent="0.3">
      <c r="D382" t="str">
        <f>IF(C382="", "", _xlfn.XLOOKUP(C382, Members!B$3:XFD$3, Members!B$2:XFD$2))</f>
        <v/>
      </c>
    </row>
    <row r="383" spans="4:4" x14ac:dyDescent="0.3">
      <c r="D383" t="str">
        <f>IF(C383="", "", _xlfn.XLOOKUP(C383, Members!B$3:XFD$3, Members!B$2:XFD$2))</f>
        <v/>
      </c>
    </row>
    <row r="384" spans="4:4" x14ac:dyDescent="0.3">
      <c r="D384" t="str">
        <f>IF(C384="", "", _xlfn.XLOOKUP(C384, Members!B$3:XFD$3, Members!B$2:XFD$2))</f>
        <v/>
      </c>
    </row>
    <row r="385" spans="4:4" x14ac:dyDescent="0.3">
      <c r="D385" t="str">
        <f>IF(C385="", "", _xlfn.XLOOKUP(C385, Members!B$3:XFD$3, Members!B$2:XFD$2))</f>
        <v/>
      </c>
    </row>
    <row r="386" spans="4:4" x14ac:dyDescent="0.3">
      <c r="D386" t="str">
        <f>IF(C386="", "", _xlfn.XLOOKUP(C386, Members!B$3:XFD$3, Members!B$2:XFD$2))</f>
        <v/>
      </c>
    </row>
    <row r="387" spans="4:4" x14ac:dyDescent="0.3">
      <c r="D387" t="str">
        <f>IF(C387="", "", _xlfn.XLOOKUP(C387, Members!B$3:XFD$3, Members!B$2:XFD$2))</f>
        <v/>
      </c>
    </row>
    <row r="388" spans="4:4" x14ac:dyDescent="0.3">
      <c r="D388" t="str">
        <f>IF(C388="", "", _xlfn.XLOOKUP(C388, Members!B$3:XFD$3, Members!B$2:XFD$2))</f>
        <v/>
      </c>
    </row>
    <row r="389" spans="4:4" x14ac:dyDescent="0.3">
      <c r="D389" t="str">
        <f>IF(C389="", "", _xlfn.XLOOKUP(C389, Members!B$3:XFD$3, Members!B$2:XFD$2))</f>
        <v/>
      </c>
    </row>
    <row r="390" spans="4:4" x14ac:dyDescent="0.3">
      <c r="D390" t="str">
        <f>IF(C390="", "", _xlfn.XLOOKUP(C390, Members!B$3:XFD$3, Members!B$2:XFD$2))</f>
        <v/>
      </c>
    </row>
    <row r="391" spans="4:4" x14ac:dyDescent="0.3">
      <c r="D391" t="str">
        <f>IF(C391="", "", _xlfn.XLOOKUP(C391, Members!B$3:XFD$3, Members!B$2:XFD$2))</f>
        <v/>
      </c>
    </row>
    <row r="392" spans="4:4" x14ac:dyDescent="0.3">
      <c r="D392" t="str">
        <f>IF(C392="", "", _xlfn.XLOOKUP(C392, Members!B$3:XFD$3, Members!B$2:XFD$2))</f>
        <v/>
      </c>
    </row>
    <row r="393" spans="4:4" x14ac:dyDescent="0.3">
      <c r="D393" t="str">
        <f>IF(C393="", "", _xlfn.XLOOKUP(C393, Members!B$3:XFD$3, Members!B$2:XFD$2))</f>
        <v/>
      </c>
    </row>
    <row r="394" spans="4:4" x14ac:dyDescent="0.3">
      <c r="D394" t="str">
        <f>IF(C394="", "", _xlfn.XLOOKUP(C394, Members!B$3:XFD$3, Members!B$2:XFD$2))</f>
        <v/>
      </c>
    </row>
    <row r="395" spans="4:4" x14ac:dyDescent="0.3">
      <c r="D395" t="str">
        <f>IF(C395="", "", _xlfn.XLOOKUP(C395, Members!B$3:XFD$3, Members!B$2:XFD$2))</f>
        <v/>
      </c>
    </row>
    <row r="396" spans="4:4" x14ac:dyDescent="0.3">
      <c r="D396" t="str">
        <f>IF(C396="", "", _xlfn.XLOOKUP(C396, Members!B$3:XFD$3, Members!B$2:XFD$2))</f>
        <v/>
      </c>
    </row>
    <row r="397" spans="4:4" x14ac:dyDescent="0.3">
      <c r="D397" t="str">
        <f>IF(C397="", "", _xlfn.XLOOKUP(C397, Members!B$3:XFD$3, Members!B$2:XFD$2))</f>
        <v/>
      </c>
    </row>
    <row r="398" spans="4:4" x14ac:dyDescent="0.3">
      <c r="D398" t="str">
        <f>IF(C398="", "", _xlfn.XLOOKUP(C398, Members!B$3:XFD$3, Members!B$2:XFD$2))</f>
        <v/>
      </c>
    </row>
    <row r="399" spans="4:4" x14ac:dyDescent="0.3">
      <c r="D399" t="str">
        <f>IF(C399="", "", _xlfn.XLOOKUP(C399, Members!B$3:XFD$3, Members!B$2:XFD$2))</f>
        <v/>
      </c>
    </row>
    <row r="400" spans="4:4" x14ac:dyDescent="0.3">
      <c r="D400" t="str">
        <f>IF(C400="", "", _xlfn.XLOOKUP(C400, Members!B$3:XFD$3, Members!B$2:XFD$2))</f>
        <v/>
      </c>
    </row>
    <row r="401" spans="4:4" x14ac:dyDescent="0.3">
      <c r="D401" t="str">
        <f>IF(C401="", "", _xlfn.XLOOKUP(C401, Members!B$3:XFD$3, Members!B$2:XFD$2))</f>
        <v/>
      </c>
    </row>
    <row r="402" spans="4:4" x14ac:dyDescent="0.3">
      <c r="D402" t="str">
        <f>IF(C402="", "", _xlfn.XLOOKUP(C402, Members!B$3:XFD$3, Members!B$2:XFD$2))</f>
        <v/>
      </c>
    </row>
    <row r="403" spans="4:4" x14ac:dyDescent="0.3">
      <c r="D403" t="str">
        <f>IF(C403="", "", _xlfn.XLOOKUP(C403, Members!B$3:XFD$3, Members!B$2:XFD$2))</f>
        <v/>
      </c>
    </row>
    <row r="404" spans="4:4" x14ac:dyDescent="0.3">
      <c r="D404" t="str">
        <f>IF(C404="", "", _xlfn.XLOOKUP(C404, Members!B$3:XFD$3, Members!B$2:XFD$2))</f>
        <v/>
      </c>
    </row>
    <row r="405" spans="4:4" x14ac:dyDescent="0.3">
      <c r="D405" t="str">
        <f>IF(C405="", "", _xlfn.XLOOKUP(C405, Members!B$3:XFD$3, Members!B$2:XFD$2))</f>
        <v/>
      </c>
    </row>
    <row r="406" spans="4:4" x14ac:dyDescent="0.3">
      <c r="D406" t="str">
        <f>IF(C406="", "", _xlfn.XLOOKUP(C406, Members!B$3:XFD$3, Members!B$2:XFD$2))</f>
        <v/>
      </c>
    </row>
    <row r="407" spans="4:4" x14ac:dyDescent="0.3">
      <c r="D407" t="str">
        <f>IF(C407="", "", _xlfn.XLOOKUP(C407, Members!B$3:XFD$3, Members!B$2:XFD$2))</f>
        <v/>
      </c>
    </row>
    <row r="408" spans="4:4" x14ac:dyDescent="0.3">
      <c r="D408" t="str">
        <f>IF(C408="", "", _xlfn.XLOOKUP(C408, Members!B$3:XFD$3, Members!B$2:XFD$2))</f>
        <v/>
      </c>
    </row>
    <row r="409" spans="4:4" x14ac:dyDescent="0.3">
      <c r="D409" t="str">
        <f>IF(C409="", "", _xlfn.XLOOKUP(C409, Members!B$3:XFD$3, Members!B$2:XFD$2))</f>
        <v/>
      </c>
    </row>
    <row r="410" spans="4:4" x14ac:dyDescent="0.3">
      <c r="D410" t="str">
        <f>IF(C410="", "", _xlfn.XLOOKUP(C410, Members!B$3:XFD$3, Members!B$2:XFD$2))</f>
        <v/>
      </c>
    </row>
    <row r="411" spans="4:4" x14ac:dyDescent="0.3">
      <c r="D411" t="str">
        <f>IF(C411="", "", _xlfn.XLOOKUP(C411, Members!B$3:XFD$3, Members!B$2:XFD$2))</f>
        <v/>
      </c>
    </row>
    <row r="412" spans="4:4" x14ac:dyDescent="0.3">
      <c r="D412" t="str">
        <f>IF(C412="", "", _xlfn.XLOOKUP(C412, Members!B$3:XFD$3, Members!B$2:XFD$2))</f>
        <v/>
      </c>
    </row>
    <row r="413" spans="4:4" x14ac:dyDescent="0.3">
      <c r="D413" t="str">
        <f>IF(C413="", "", _xlfn.XLOOKUP(C413, Members!B$3:XFD$3, Members!B$2:XFD$2))</f>
        <v/>
      </c>
    </row>
    <row r="414" spans="4:4" x14ac:dyDescent="0.3">
      <c r="D414" t="str">
        <f>IF(C414="", "", _xlfn.XLOOKUP(C414, Members!B$3:XFD$3, Members!B$2:XFD$2))</f>
        <v/>
      </c>
    </row>
    <row r="415" spans="4:4" x14ac:dyDescent="0.3">
      <c r="D415" t="str">
        <f>IF(C415="", "", _xlfn.XLOOKUP(C415, Members!B$3:XFD$3, Members!B$2:XFD$2))</f>
        <v/>
      </c>
    </row>
    <row r="416" spans="4:4" x14ac:dyDescent="0.3">
      <c r="D416" t="str">
        <f>IF(C416="", "", _xlfn.XLOOKUP(C416, Members!B$3:XFD$3, Members!B$2:XFD$2))</f>
        <v/>
      </c>
    </row>
    <row r="417" spans="4:4" x14ac:dyDescent="0.3">
      <c r="D417" t="str">
        <f>IF(C417="", "", _xlfn.XLOOKUP(C417, Members!B$3:XFD$3, Members!B$2:XFD$2))</f>
        <v/>
      </c>
    </row>
    <row r="418" spans="4:4" x14ac:dyDescent="0.3">
      <c r="D418" t="str">
        <f>IF(C418="", "", _xlfn.XLOOKUP(C418, Members!B$3:XFD$3, Members!B$2:XFD$2))</f>
        <v/>
      </c>
    </row>
    <row r="419" spans="4:4" x14ac:dyDescent="0.3">
      <c r="D419" t="str">
        <f>IF(C419="", "", _xlfn.XLOOKUP(C419, Members!B$3:XFD$3, Members!B$2:XFD$2))</f>
        <v/>
      </c>
    </row>
    <row r="420" spans="4:4" x14ac:dyDescent="0.3">
      <c r="D420" t="str">
        <f>IF(C420="", "", _xlfn.XLOOKUP(C420, Members!B$3:XFD$3, Members!B$2:XFD$2))</f>
        <v/>
      </c>
    </row>
    <row r="421" spans="4:4" x14ac:dyDescent="0.3">
      <c r="D421" t="str">
        <f>IF(C421="", "", _xlfn.XLOOKUP(C421, Members!B$3:XFD$3, Members!B$2:XFD$2))</f>
        <v/>
      </c>
    </row>
    <row r="422" spans="4:4" x14ac:dyDescent="0.3">
      <c r="D422" t="str">
        <f>IF(C422="", "", _xlfn.XLOOKUP(C422, Members!B$3:XFD$3, Members!B$2:XFD$2))</f>
        <v/>
      </c>
    </row>
    <row r="423" spans="4:4" x14ac:dyDescent="0.3">
      <c r="D423" t="str">
        <f>IF(C423="", "", _xlfn.XLOOKUP(C423, Members!B$3:XFD$3, Members!B$2:XFD$2))</f>
        <v/>
      </c>
    </row>
    <row r="424" spans="4:4" x14ac:dyDescent="0.3">
      <c r="D424" t="str">
        <f>IF(C424="", "", _xlfn.XLOOKUP(C424, Members!B$3:XFD$3, Members!B$2:XFD$2))</f>
        <v/>
      </c>
    </row>
    <row r="425" spans="4:4" x14ac:dyDescent="0.3">
      <c r="D425" t="str">
        <f>IF(C425="", "", _xlfn.XLOOKUP(C425, Members!B$3:XFD$3, Members!B$2:XFD$2))</f>
        <v/>
      </c>
    </row>
    <row r="426" spans="4:4" x14ac:dyDescent="0.3">
      <c r="D426" t="str">
        <f>IF(C426="", "", _xlfn.XLOOKUP(C426, Members!B$3:XFD$3, Members!B$2:XFD$2))</f>
        <v/>
      </c>
    </row>
    <row r="427" spans="4:4" x14ac:dyDescent="0.3">
      <c r="D427" t="str">
        <f>IF(C427="", "", _xlfn.XLOOKUP(C427, Members!B$3:XFD$3, Members!B$2:XFD$2))</f>
        <v/>
      </c>
    </row>
    <row r="428" spans="4:4" x14ac:dyDescent="0.3">
      <c r="D428" t="str">
        <f>IF(C428="", "", _xlfn.XLOOKUP(C428, Members!B$3:XFD$3, Members!B$2:XFD$2))</f>
        <v/>
      </c>
    </row>
    <row r="429" spans="4:4" x14ac:dyDescent="0.3">
      <c r="D429" t="str">
        <f>IF(C429="", "", _xlfn.XLOOKUP(C429, Members!B$3:XFD$3, Members!B$2:XFD$2))</f>
        <v/>
      </c>
    </row>
    <row r="430" spans="4:4" x14ac:dyDescent="0.3">
      <c r="D430" t="str">
        <f>IF(C430="", "", _xlfn.XLOOKUP(C430, Members!B$3:XFD$3, Members!B$2:XFD$2))</f>
        <v/>
      </c>
    </row>
    <row r="431" spans="4:4" x14ac:dyDescent="0.3">
      <c r="D431" t="str">
        <f>IF(C431="", "", _xlfn.XLOOKUP(C431, Members!B$3:XFD$3, Members!B$2:XFD$2))</f>
        <v/>
      </c>
    </row>
    <row r="432" spans="4:4" x14ac:dyDescent="0.3">
      <c r="D432" t="str">
        <f>IF(C432="", "", _xlfn.XLOOKUP(C432, Members!B$3:XFD$3, Members!B$2:XFD$2))</f>
        <v/>
      </c>
    </row>
    <row r="433" spans="4:4" x14ac:dyDescent="0.3">
      <c r="D433" t="str">
        <f>IF(C433="", "", _xlfn.XLOOKUP(C433, Members!B$3:XFD$3, Members!B$2:XFD$2))</f>
        <v/>
      </c>
    </row>
    <row r="434" spans="4:4" x14ac:dyDescent="0.3">
      <c r="D434" t="str">
        <f>IF(C434="", "", _xlfn.XLOOKUP(C434, Members!B$3:XFD$3, Members!B$2:XFD$2))</f>
        <v/>
      </c>
    </row>
    <row r="435" spans="4:4" x14ac:dyDescent="0.3">
      <c r="D435" t="str">
        <f>IF(C435="", "", _xlfn.XLOOKUP(C435, Members!B$3:XFD$3, Members!B$2:XFD$2))</f>
        <v/>
      </c>
    </row>
    <row r="436" spans="4:4" x14ac:dyDescent="0.3">
      <c r="D436" t="str">
        <f>IF(C436="", "", _xlfn.XLOOKUP(C436, Members!B$3:XFD$3, Members!B$2:XFD$2))</f>
        <v/>
      </c>
    </row>
    <row r="437" spans="4:4" x14ac:dyDescent="0.3">
      <c r="D437" t="str">
        <f>IF(C437="", "", _xlfn.XLOOKUP(C437, Members!B$3:XFD$3, Members!B$2:XFD$2))</f>
        <v/>
      </c>
    </row>
    <row r="438" spans="4:4" x14ac:dyDescent="0.3">
      <c r="D438" t="str">
        <f>IF(C438="", "", _xlfn.XLOOKUP(C438, Members!B$3:XFD$3, Members!B$2:XFD$2))</f>
        <v/>
      </c>
    </row>
    <row r="439" spans="4:4" x14ac:dyDescent="0.3">
      <c r="D439" t="str">
        <f>IF(C439="", "", _xlfn.XLOOKUP(C439, Members!B$3:XFD$3, Members!B$2:XFD$2))</f>
        <v/>
      </c>
    </row>
    <row r="440" spans="4:4" x14ac:dyDescent="0.3">
      <c r="D440" t="str">
        <f>IF(C440="", "", _xlfn.XLOOKUP(C440, Members!B$3:XFD$3, Members!B$2:XFD$2))</f>
        <v/>
      </c>
    </row>
    <row r="441" spans="4:4" x14ac:dyDescent="0.3">
      <c r="D441" t="str">
        <f>IF(C441="", "", _xlfn.XLOOKUP(C441, Members!B$3:XFD$3, Members!B$2:XFD$2))</f>
        <v/>
      </c>
    </row>
    <row r="442" spans="4:4" x14ac:dyDescent="0.3">
      <c r="D442" t="str">
        <f>IF(C442="", "", _xlfn.XLOOKUP(C442, Members!B$3:XFD$3, Members!B$2:XFD$2))</f>
        <v/>
      </c>
    </row>
    <row r="443" spans="4:4" x14ac:dyDescent="0.3">
      <c r="D443" t="str">
        <f>IF(C443="", "", _xlfn.XLOOKUP(C443, Members!B$3:XFD$3, Members!B$2:XFD$2))</f>
        <v/>
      </c>
    </row>
    <row r="444" spans="4:4" x14ac:dyDescent="0.3">
      <c r="D444" t="str">
        <f>IF(C444="", "", _xlfn.XLOOKUP(C444, Members!B$3:XFD$3, Members!B$2:XFD$2))</f>
        <v/>
      </c>
    </row>
    <row r="445" spans="4:4" x14ac:dyDescent="0.3">
      <c r="D445" t="str">
        <f>IF(C445="", "", _xlfn.XLOOKUP(C445, Members!B$3:XFD$3, Members!B$2:XFD$2))</f>
        <v/>
      </c>
    </row>
    <row r="446" spans="4:4" x14ac:dyDescent="0.3">
      <c r="D446" t="str">
        <f>IF(C446="", "", _xlfn.XLOOKUP(C446, Members!B$3:XFD$3, Members!B$2:XFD$2))</f>
        <v/>
      </c>
    </row>
    <row r="447" spans="4:4" x14ac:dyDescent="0.3">
      <c r="D447" t="str">
        <f>IF(C447="", "", _xlfn.XLOOKUP(C447, Members!B$3:XFD$3, Members!B$2:XFD$2))</f>
        <v/>
      </c>
    </row>
    <row r="448" spans="4:4" x14ac:dyDescent="0.3">
      <c r="D448" t="str">
        <f>IF(C448="", "", _xlfn.XLOOKUP(C448, Members!B$3:XFD$3, Members!B$2:XFD$2))</f>
        <v/>
      </c>
    </row>
    <row r="449" spans="4:4" x14ac:dyDescent="0.3">
      <c r="D449" t="str">
        <f>IF(C449="", "", _xlfn.XLOOKUP(C449, Members!B$3:XFD$3, Members!B$2:XFD$2))</f>
        <v/>
      </c>
    </row>
    <row r="450" spans="4:4" x14ac:dyDescent="0.3">
      <c r="D450" t="str">
        <f>IF(C450="", "", _xlfn.XLOOKUP(C450, Members!B$3:XFD$3, Members!B$2:XFD$2))</f>
        <v/>
      </c>
    </row>
    <row r="451" spans="4:4" x14ac:dyDescent="0.3">
      <c r="D451" t="str">
        <f>IF(C451="", "", _xlfn.XLOOKUP(C451, Members!B$3:XFD$3, Members!B$2:XFD$2))</f>
        <v/>
      </c>
    </row>
    <row r="452" spans="4:4" x14ac:dyDescent="0.3">
      <c r="D452" t="str">
        <f>IF(C452="", "", _xlfn.XLOOKUP(C452, Members!B$3:XFD$3, Members!B$2:XFD$2))</f>
        <v/>
      </c>
    </row>
    <row r="453" spans="4:4" x14ac:dyDescent="0.3">
      <c r="D453" t="str">
        <f>IF(C453="", "", _xlfn.XLOOKUP(C453, Members!B$3:XFD$3, Members!B$2:XFD$2))</f>
        <v/>
      </c>
    </row>
    <row r="454" spans="4:4" x14ac:dyDescent="0.3">
      <c r="D454" t="str">
        <f>IF(C454="", "", _xlfn.XLOOKUP(C454, Members!B$3:XFD$3, Members!B$2:XFD$2))</f>
        <v/>
      </c>
    </row>
    <row r="455" spans="4:4" x14ac:dyDescent="0.3">
      <c r="D455" t="str">
        <f>IF(C455="", "", _xlfn.XLOOKUP(C455, Members!B$3:XFD$3, Members!B$2:XFD$2))</f>
        <v/>
      </c>
    </row>
    <row r="456" spans="4:4" x14ac:dyDescent="0.3">
      <c r="D456" t="str">
        <f>IF(C456="", "", _xlfn.XLOOKUP(C456, Members!B$3:XFD$3, Members!B$2:XFD$2))</f>
        <v/>
      </c>
    </row>
    <row r="457" spans="4:4" x14ac:dyDescent="0.3">
      <c r="D457" t="str">
        <f>IF(C457="", "", _xlfn.XLOOKUP(C457, Members!B$3:XFD$3, Members!B$2:XFD$2))</f>
        <v/>
      </c>
    </row>
    <row r="458" spans="4:4" x14ac:dyDescent="0.3">
      <c r="D458" t="str">
        <f>IF(C458="", "", _xlfn.XLOOKUP(C458, Members!B$3:XFD$3, Members!B$2:XFD$2))</f>
        <v/>
      </c>
    </row>
    <row r="459" spans="4:4" x14ac:dyDescent="0.3">
      <c r="D459" t="str">
        <f>IF(C459="", "", _xlfn.XLOOKUP(C459, Members!B$3:XFD$3, Members!B$2:XFD$2))</f>
        <v/>
      </c>
    </row>
    <row r="460" spans="4:4" x14ac:dyDescent="0.3">
      <c r="D460" t="str">
        <f>IF(C460="", "", _xlfn.XLOOKUP(C460, Members!B$3:XFD$3, Members!B$2:XFD$2))</f>
        <v/>
      </c>
    </row>
    <row r="461" spans="4:4" x14ac:dyDescent="0.3">
      <c r="D461" t="str">
        <f>IF(C461="", "", _xlfn.XLOOKUP(C461, Members!B$3:XFD$3, Members!B$2:XFD$2))</f>
        <v/>
      </c>
    </row>
    <row r="462" spans="4:4" x14ac:dyDescent="0.3">
      <c r="D462" t="str">
        <f>IF(C462="", "", _xlfn.XLOOKUP(C462, Members!B$3:XFD$3, Members!B$2:XFD$2))</f>
        <v/>
      </c>
    </row>
    <row r="463" spans="4:4" x14ac:dyDescent="0.3">
      <c r="D463" t="str">
        <f>IF(C463="", "", _xlfn.XLOOKUP(C463, Members!B$3:XFD$3, Members!B$2:XFD$2))</f>
        <v/>
      </c>
    </row>
    <row r="464" spans="4:4" x14ac:dyDescent="0.3">
      <c r="D464" t="str">
        <f>IF(C464="", "", _xlfn.XLOOKUP(C464, Members!B$3:XFD$3, Members!B$2:XFD$2))</f>
        <v/>
      </c>
    </row>
    <row r="465" spans="4:4" x14ac:dyDescent="0.3">
      <c r="D465" t="str">
        <f>IF(C465="", "", _xlfn.XLOOKUP(C465, Members!B$3:XFD$3, Members!B$2:XFD$2))</f>
        <v/>
      </c>
    </row>
    <row r="466" spans="4:4" x14ac:dyDescent="0.3">
      <c r="D466" t="str">
        <f>IF(C466="", "", _xlfn.XLOOKUP(C466, Members!B$3:XFD$3, Members!B$2:XFD$2))</f>
        <v/>
      </c>
    </row>
    <row r="467" spans="4:4" x14ac:dyDescent="0.3">
      <c r="D467" t="str">
        <f>IF(C467="", "", _xlfn.XLOOKUP(C467, Members!B$3:XFD$3, Members!B$2:XFD$2))</f>
        <v/>
      </c>
    </row>
    <row r="468" spans="4:4" x14ac:dyDescent="0.3">
      <c r="D468" t="str">
        <f>IF(C468="", "", _xlfn.XLOOKUP(C468, Members!B$3:XFD$3, Members!B$2:XFD$2))</f>
        <v/>
      </c>
    </row>
    <row r="469" spans="4:4" x14ac:dyDescent="0.3">
      <c r="D469" t="str">
        <f>IF(C469="", "", _xlfn.XLOOKUP(C469, Members!B$3:XFD$3, Members!B$2:XFD$2))</f>
        <v/>
      </c>
    </row>
    <row r="470" spans="4:4" x14ac:dyDescent="0.3">
      <c r="D470" t="str">
        <f>IF(C470="", "", _xlfn.XLOOKUP(C470, Members!B$3:XFD$3, Members!B$2:XFD$2))</f>
        <v/>
      </c>
    </row>
    <row r="471" spans="4:4" x14ac:dyDescent="0.3">
      <c r="D471" t="str">
        <f>IF(C471="", "", _xlfn.XLOOKUP(C471, Members!B$3:XFD$3, Members!B$2:XFD$2))</f>
        <v/>
      </c>
    </row>
    <row r="472" spans="4:4" x14ac:dyDescent="0.3">
      <c r="D472" t="str">
        <f>IF(C472="", "", _xlfn.XLOOKUP(C472, Members!B$3:XFD$3, Members!B$2:XFD$2))</f>
        <v/>
      </c>
    </row>
    <row r="473" spans="4:4" x14ac:dyDescent="0.3">
      <c r="D473" t="str">
        <f>IF(C473="", "", _xlfn.XLOOKUP(C473, Members!B$3:XFD$3, Members!B$2:XFD$2))</f>
        <v/>
      </c>
    </row>
    <row r="474" spans="4:4" x14ac:dyDescent="0.3">
      <c r="D474" t="str">
        <f>IF(C474="", "", _xlfn.XLOOKUP(C474, Members!B$3:XFD$3, Members!B$2:XFD$2))</f>
        <v/>
      </c>
    </row>
    <row r="475" spans="4:4" x14ac:dyDescent="0.3">
      <c r="D475" t="str">
        <f>IF(C475="", "", _xlfn.XLOOKUP(C475, Members!B$3:XFD$3, Members!B$2:XFD$2))</f>
        <v/>
      </c>
    </row>
    <row r="476" spans="4:4" x14ac:dyDescent="0.3">
      <c r="D476" t="str">
        <f>IF(C476="", "", _xlfn.XLOOKUP(C476, Members!B$3:XFD$3, Members!B$2:XFD$2))</f>
        <v/>
      </c>
    </row>
    <row r="477" spans="4:4" x14ac:dyDescent="0.3">
      <c r="D477" t="str">
        <f>IF(C477="", "", _xlfn.XLOOKUP(C477, Members!B$3:XFD$3, Members!B$2:XFD$2))</f>
        <v/>
      </c>
    </row>
    <row r="478" spans="4:4" x14ac:dyDescent="0.3">
      <c r="D478" t="str">
        <f>IF(C478="", "", _xlfn.XLOOKUP(C478, Members!B$3:XFD$3, Members!B$2:XFD$2))</f>
        <v/>
      </c>
    </row>
    <row r="479" spans="4:4" x14ac:dyDescent="0.3">
      <c r="D479" t="str">
        <f>IF(C479="", "", _xlfn.XLOOKUP(C479, Members!B$3:XFD$3, Members!B$2:XFD$2))</f>
        <v/>
      </c>
    </row>
    <row r="480" spans="4:4" x14ac:dyDescent="0.3">
      <c r="D480" t="str">
        <f>IF(C480="", "", _xlfn.XLOOKUP(C480, Members!B$3:XFD$3, Members!B$2:XFD$2))</f>
        <v/>
      </c>
    </row>
    <row r="481" spans="4:4" x14ac:dyDescent="0.3">
      <c r="D481" t="str">
        <f>IF(C481="", "", _xlfn.XLOOKUP(C481, Members!B$3:XFD$3, Members!B$2:XFD$2))</f>
        <v/>
      </c>
    </row>
    <row r="482" spans="4:4" x14ac:dyDescent="0.3">
      <c r="D482" t="str">
        <f>IF(C482="", "", _xlfn.XLOOKUP(C482, Members!B$3:XFD$3, Members!B$2:XFD$2))</f>
        <v/>
      </c>
    </row>
    <row r="483" spans="4:4" x14ac:dyDescent="0.3">
      <c r="D483" t="str">
        <f>IF(C483="", "", _xlfn.XLOOKUP(C483, Members!B$3:XFD$3, Members!B$2:XFD$2))</f>
        <v/>
      </c>
    </row>
    <row r="484" spans="4:4" x14ac:dyDescent="0.3">
      <c r="D484" t="str">
        <f>IF(C484="", "", _xlfn.XLOOKUP(C484, Members!B$3:XFD$3, Members!B$2:XFD$2))</f>
        <v/>
      </c>
    </row>
    <row r="485" spans="4:4" x14ac:dyDescent="0.3">
      <c r="D485" t="str">
        <f>IF(C485="", "", _xlfn.XLOOKUP(C485, Members!B$3:XFD$3, Members!B$2:XFD$2))</f>
        <v/>
      </c>
    </row>
    <row r="486" spans="4:4" x14ac:dyDescent="0.3">
      <c r="D486" t="str">
        <f>IF(C486="", "", _xlfn.XLOOKUP(C486, Members!B$3:XFD$3, Members!B$2:XFD$2))</f>
        <v/>
      </c>
    </row>
    <row r="487" spans="4:4" x14ac:dyDescent="0.3">
      <c r="D487" t="str">
        <f>IF(C487="", "", _xlfn.XLOOKUP(C487, Members!B$3:XFD$3, Members!B$2:XFD$2))</f>
        <v/>
      </c>
    </row>
    <row r="488" spans="4:4" x14ac:dyDescent="0.3">
      <c r="D488" t="str">
        <f>IF(C488="", "", _xlfn.XLOOKUP(C488, Members!B$3:XFD$3, Members!B$2:XFD$2))</f>
        <v/>
      </c>
    </row>
    <row r="489" spans="4:4" x14ac:dyDescent="0.3">
      <c r="D489" t="str">
        <f>IF(C489="", "", _xlfn.XLOOKUP(C489, Members!B$3:XFD$3, Members!B$2:XFD$2))</f>
        <v/>
      </c>
    </row>
    <row r="490" spans="4:4" x14ac:dyDescent="0.3">
      <c r="D490" t="str">
        <f>IF(C490="", "", _xlfn.XLOOKUP(C490, Members!B$3:XFD$3, Members!B$2:XFD$2))</f>
        <v/>
      </c>
    </row>
    <row r="491" spans="4:4" x14ac:dyDescent="0.3">
      <c r="D491" t="str">
        <f>IF(C491="", "", _xlfn.XLOOKUP(C491, Members!B$3:XFD$3, Members!B$2:XFD$2))</f>
        <v/>
      </c>
    </row>
    <row r="492" spans="4:4" x14ac:dyDescent="0.3">
      <c r="D492" t="str">
        <f>IF(C492="", "", _xlfn.XLOOKUP(C492, Members!B$3:XFD$3, Members!B$2:XFD$2))</f>
        <v/>
      </c>
    </row>
    <row r="493" spans="4:4" x14ac:dyDescent="0.3">
      <c r="D493" t="str">
        <f>IF(C493="", "", _xlfn.XLOOKUP(C493, Members!B$3:XFD$3, Members!B$2:XFD$2))</f>
        <v/>
      </c>
    </row>
    <row r="494" spans="4:4" x14ac:dyDescent="0.3">
      <c r="D494" t="str">
        <f>IF(C494="", "", _xlfn.XLOOKUP(C494, Members!B$3:XFD$3, Members!B$2:XFD$2))</f>
        <v/>
      </c>
    </row>
    <row r="495" spans="4:4" x14ac:dyDescent="0.3">
      <c r="D495" t="str">
        <f>IF(C495="", "", _xlfn.XLOOKUP(C495, Members!B$3:XFD$3, Members!B$2:XFD$2))</f>
        <v/>
      </c>
    </row>
    <row r="496" spans="4:4" x14ac:dyDescent="0.3">
      <c r="D496" t="str">
        <f>IF(C496="", "", _xlfn.XLOOKUP(C496, Members!B$3:XFD$3, Members!B$2:XFD$2))</f>
        <v/>
      </c>
    </row>
    <row r="497" spans="4:4" x14ac:dyDescent="0.3">
      <c r="D497" t="str">
        <f>IF(C497="", "", _xlfn.XLOOKUP(C497, Members!B$3:XFD$3, Members!B$2:XFD$2))</f>
        <v/>
      </c>
    </row>
    <row r="498" spans="4:4" x14ac:dyDescent="0.3">
      <c r="D498" t="str">
        <f>IF(C498="", "", _xlfn.XLOOKUP(C498, Members!B$3:XFD$3, Members!B$2:XFD$2))</f>
        <v/>
      </c>
    </row>
    <row r="499" spans="4:4" x14ac:dyDescent="0.3">
      <c r="D499" t="str">
        <f>IF(C499="", "", _xlfn.XLOOKUP(C499, Members!B$3:XFD$3, Members!B$2:XFD$2))</f>
        <v/>
      </c>
    </row>
    <row r="500" spans="4:4" x14ac:dyDescent="0.3">
      <c r="D500" t="str">
        <f>IF(C500="", "", _xlfn.XLOOKUP(C500, Members!B$3:XFD$3, Members!B$2:XFD$2))</f>
        <v/>
      </c>
    </row>
    <row r="501" spans="4:4" x14ac:dyDescent="0.3">
      <c r="D501" t="str">
        <f>IF(C501="", "", _xlfn.XLOOKUP(C501, Members!B$3:XFD$3, Members!B$2:XFD$2))</f>
        <v/>
      </c>
    </row>
    <row r="502" spans="4:4" x14ac:dyDescent="0.3">
      <c r="D502" t="str">
        <f>IF(C502="", "", _xlfn.XLOOKUP(C502, Members!B$3:XFD$3, Members!B$2:XFD$2))</f>
        <v/>
      </c>
    </row>
    <row r="503" spans="4:4" x14ac:dyDescent="0.3">
      <c r="D503" t="str">
        <f>IF(C503="", "", _xlfn.XLOOKUP(C503, Members!B$3:XFD$3, Members!B$2:XFD$2))</f>
        <v/>
      </c>
    </row>
    <row r="504" spans="4:4" x14ac:dyDescent="0.3">
      <c r="D504" t="str">
        <f>IF(C504="", "", _xlfn.XLOOKUP(C504, Members!B$3:XFD$3, Members!B$2:XFD$2))</f>
        <v/>
      </c>
    </row>
    <row r="505" spans="4:4" x14ac:dyDescent="0.3">
      <c r="D505" t="str">
        <f>IF(C505="", "", _xlfn.XLOOKUP(C505, Members!B$3:XFD$3, Members!B$2:XFD$2))</f>
        <v/>
      </c>
    </row>
    <row r="506" spans="4:4" x14ac:dyDescent="0.3">
      <c r="D506" t="str">
        <f>IF(C506="", "", _xlfn.XLOOKUP(C506, Members!B$3:XFD$3, Members!B$2:XFD$2))</f>
        <v/>
      </c>
    </row>
    <row r="507" spans="4:4" x14ac:dyDescent="0.3">
      <c r="D507" t="str">
        <f>IF(C507="", "", _xlfn.XLOOKUP(C507, Members!B$3:XFD$3, Members!B$2:XFD$2))</f>
        <v/>
      </c>
    </row>
    <row r="508" spans="4:4" x14ac:dyDescent="0.3">
      <c r="D508" t="str">
        <f>IF(C508="", "", _xlfn.XLOOKUP(C508, Members!B$3:XFD$3, Members!B$2:XFD$2))</f>
        <v/>
      </c>
    </row>
    <row r="509" spans="4:4" x14ac:dyDescent="0.3">
      <c r="D509" t="str">
        <f>IF(C509="", "", _xlfn.XLOOKUP(C509, Members!B$3:XFD$3, Members!B$2:XFD$2))</f>
        <v/>
      </c>
    </row>
    <row r="510" spans="4:4" x14ac:dyDescent="0.3">
      <c r="D510" t="str">
        <f>IF(C510="", "", _xlfn.XLOOKUP(C510, Members!B$3:XFD$3, Members!B$2:XFD$2))</f>
        <v/>
      </c>
    </row>
    <row r="511" spans="4:4" x14ac:dyDescent="0.3">
      <c r="D511" t="str">
        <f>IF(C511="", "", _xlfn.XLOOKUP(C511, Members!B$3:XFD$3, Members!B$2:XFD$2))</f>
        <v/>
      </c>
    </row>
    <row r="512" spans="4:4" x14ac:dyDescent="0.3">
      <c r="D512" t="str">
        <f>IF(C512="", "", _xlfn.XLOOKUP(C512, Members!B$3:XFD$3, Members!B$2:XFD$2))</f>
        <v/>
      </c>
    </row>
    <row r="513" spans="4:4" x14ac:dyDescent="0.3">
      <c r="D513" t="str">
        <f>IF(C513="", "", _xlfn.XLOOKUP(C513, Members!B$3:XFD$3, Members!B$2:XFD$2))</f>
        <v/>
      </c>
    </row>
    <row r="514" spans="4:4" x14ac:dyDescent="0.3">
      <c r="D514" t="str">
        <f>IF(C514="", "", _xlfn.XLOOKUP(C514, Members!B$3:XFD$3, Members!B$2:XFD$2))</f>
        <v/>
      </c>
    </row>
    <row r="515" spans="4:4" x14ac:dyDescent="0.3">
      <c r="D515" t="str">
        <f>IF(C515="", "", _xlfn.XLOOKUP(C515, Members!B$3:XFD$3, Members!B$2:XFD$2))</f>
        <v/>
      </c>
    </row>
    <row r="516" spans="4:4" x14ac:dyDescent="0.3">
      <c r="D516" t="str">
        <f>IF(C516="", "", _xlfn.XLOOKUP(C516, Members!B$3:XFD$3, Members!B$2:XFD$2))</f>
        <v/>
      </c>
    </row>
    <row r="517" spans="4:4" x14ac:dyDescent="0.3">
      <c r="D517" t="str">
        <f>IF(C517="", "", _xlfn.XLOOKUP(C517, Members!B$3:XFD$3, Members!B$2:XFD$2))</f>
        <v/>
      </c>
    </row>
    <row r="518" spans="4:4" x14ac:dyDescent="0.3">
      <c r="D518" t="str">
        <f>IF(C518="", "", _xlfn.XLOOKUP(C518, Members!B$3:XFD$3, Members!B$2:XFD$2))</f>
        <v/>
      </c>
    </row>
    <row r="519" spans="4:4" x14ac:dyDescent="0.3">
      <c r="D519" t="str">
        <f>IF(C519="", "", _xlfn.XLOOKUP(C519, Members!B$3:XFD$3, Members!B$2:XFD$2))</f>
        <v/>
      </c>
    </row>
    <row r="520" spans="4:4" x14ac:dyDescent="0.3">
      <c r="D520" t="str">
        <f>IF(C520="", "", _xlfn.XLOOKUP(C520, Members!B$3:XFD$3, Members!B$2:XFD$2))</f>
        <v/>
      </c>
    </row>
    <row r="521" spans="4:4" x14ac:dyDescent="0.3">
      <c r="D521" t="str">
        <f>IF(C521="", "", _xlfn.XLOOKUP(C521, Members!B$3:XFD$3, Members!B$2:XFD$2))</f>
        <v/>
      </c>
    </row>
    <row r="522" spans="4:4" x14ac:dyDescent="0.3">
      <c r="D522" t="str">
        <f>IF(C522="", "", _xlfn.XLOOKUP(C522, Members!B$3:XFD$3, Members!B$2:XFD$2))</f>
        <v/>
      </c>
    </row>
    <row r="523" spans="4:4" x14ac:dyDescent="0.3">
      <c r="D523" t="str">
        <f>IF(C523="", "", _xlfn.XLOOKUP(C523, Members!B$3:XFD$3, Members!B$2:XFD$2))</f>
        <v/>
      </c>
    </row>
    <row r="524" spans="4:4" x14ac:dyDescent="0.3">
      <c r="D524" t="str">
        <f>IF(C524="", "", _xlfn.XLOOKUP(C524, Members!B$3:XFD$3, Members!B$2:XFD$2))</f>
        <v/>
      </c>
    </row>
    <row r="525" spans="4:4" x14ac:dyDescent="0.3">
      <c r="D525" t="str">
        <f>IF(C525="", "", _xlfn.XLOOKUP(C525, Members!B$3:XFD$3, Members!B$2:XFD$2))</f>
        <v/>
      </c>
    </row>
    <row r="526" spans="4:4" x14ac:dyDescent="0.3">
      <c r="D526" t="str">
        <f>IF(C526="", "", _xlfn.XLOOKUP(C526, Members!B$3:XFD$3, Members!B$2:XFD$2))</f>
        <v/>
      </c>
    </row>
    <row r="527" spans="4:4" x14ac:dyDescent="0.3">
      <c r="D527" t="str">
        <f>IF(C527="", "", _xlfn.XLOOKUP(C527, Members!B$3:XFD$3, Members!B$2:XFD$2))</f>
        <v/>
      </c>
    </row>
    <row r="528" spans="4:4" x14ac:dyDescent="0.3">
      <c r="D528" t="str">
        <f>IF(C528="", "", _xlfn.XLOOKUP(C528, Members!B$3:XFD$3, Members!B$2:XFD$2))</f>
        <v/>
      </c>
    </row>
    <row r="529" spans="4:4" x14ac:dyDescent="0.3">
      <c r="D529" t="str">
        <f>IF(C529="", "", _xlfn.XLOOKUP(C529, Members!B$3:XFD$3, Members!B$2:XFD$2))</f>
        <v/>
      </c>
    </row>
    <row r="530" spans="4:4" x14ac:dyDescent="0.3">
      <c r="D530" t="str">
        <f>IF(C530="", "", _xlfn.XLOOKUP(C530, Members!B$3:XFD$3, Members!B$2:XFD$2))</f>
        <v/>
      </c>
    </row>
    <row r="531" spans="4:4" x14ac:dyDescent="0.3">
      <c r="D531" t="str">
        <f>IF(C531="", "", _xlfn.XLOOKUP(C531, Members!B$3:XFD$3, Members!B$2:XFD$2))</f>
        <v/>
      </c>
    </row>
    <row r="532" spans="4:4" x14ac:dyDescent="0.3">
      <c r="D532" t="str">
        <f>IF(C532="", "", _xlfn.XLOOKUP(C532, Members!B$3:XFD$3, Members!B$2:XFD$2))</f>
        <v/>
      </c>
    </row>
    <row r="533" spans="4:4" x14ac:dyDescent="0.3">
      <c r="D533" t="str">
        <f>IF(C533="", "", _xlfn.XLOOKUP(C533, Members!B$3:XFD$3, Members!B$2:XFD$2))</f>
        <v/>
      </c>
    </row>
    <row r="534" spans="4:4" x14ac:dyDescent="0.3">
      <c r="D534" t="str">
        <f>IF(C534="", "", _xlfn.XLOOKUP(C534, Members!B$3:XFD$3, Members!B$2:XFD$2))</f>
        <v/>
      </c>
    </row>
    <row r="535" spans="4:4" x14ac:dyDescent="0.3">
      <c r="D535" t="str">
        <f>IF(C535="", "", _xlfn.XLOOKUP(C535, Members!B$3:XFD$3, Members!B$2:XFD$2))</f>
        <v/>
      </c>
    </row>
    <row r="536" spans="4:4" x14ac:dyDescent="0.3">
      <c r="D536" t="str">
        <f>IF(C536="", "", _xlfn.XLOOKUP(C536, Members!B$3:XFD$3, Members!B$2:XFD$2))</f>
        <v/>
      </c>
    </row>
    <row r="537" spans="4:4" x14ac:dyDescent="0.3">
      <c r="D537" t="str">
        <f>IF(C537="", "", _xlfn.XLOOKUP(C537, Members!B$3:XFD$3, Members!B$2:XFD$2))</f>
        <v/>
      </c>
    </row>
    <row r="538" spans="4:4" x14ac:dyDescent="0.3">
      <c r="D538" t="str">
        <f>IF(C538="", "", _xlfn.XLOOKUP(C538, Members!B$3:XFD$3, Members!B$2:XFD$2))</f>
        <v/>
      </c>
    </row>
    <row r="539" spans="4:4" x14ac:dyDescent="0.3">
      <c r="D539" t="str">
        <f>IF(C539="", "", _xlfn.XLOOKUP(C539, Members!B$3:XFD$3, Members!B$2:XFD$2))</f>
        <v/>
      </c>
    </row>
    <row r="540" spans="4:4" x14ac:dyDescent="0.3">
      <c r="D540" t="str">
        <f>IF(C540="", "", _xlfn.XLOOKUP(C540, Members!B$3:XFD$3, Members!B$2:XFD$2))</f>
        <v/>
      </c>
    </row>
    <row r="541" spans="4:4" x14ac:dyDescent="0.3">
      <c r="D541" t="str">
        <f>IF(C541="", "", _xlfn.XLOOKUP(C541, Members!B$3:XFD$3, Members!B$2:XFD$2))</f>
        <v/>
      </c>
    </row>
    <row r="542" spans="4:4" x14ac:dyDescent="0.3">
      <c r="D542" t="str">
        <f>IF(C542="", "", _xlfn.XLOOKUP(C542, Members!B$3:XFD$3, Members!B$2:XFD$2))</f>
        <v/>
      </c>
    </row>
    <row r="543" spans="4:4" x14ac:dyDescent="0.3">
      <c r="D543" t="str">
        <f>IF(C543="", "", _xlfn.XLOOKUP(C543, Members!B$3:XFD$3, Members!B$2:XFD$2))</f>
        <v/>
      </c>
    </row>
    <row r="544" spans="4:4" x14ac:dyDescent="0.3">
      <c r="D544" t="str">
        <f>IF(C544="", "", _xlfn.XLOOKUP(C544, Members!B$3:XFD$3, Members!B$2:XFD$2))</f>
        <v/>
      </c>
    </row>
    <row r="545" spans="4:4" x14ac:dyDescent="0.3">
      <c r="D545" t="str">
        <f>IF(C545="", "", _xlfn.XLOOKUP(C545, Members!B$3:XFD$3, Members!B$2:XFD$2))</f>
        <v/>
      </c>
    </row>
    <row r="546" spans="4:4" x14ac:dyDescent="0.3">
      <c r="D546" t="str">
        <f>IF(C546="", "", _xlfn.XLOOKUP(C546, Members!B$3:XFD$3, Members!B$2:XFD$2))</f>
        <v/>
      </c>
    </row>
    <row r="547" spans="4:4" x14ac:dyDescent="0.3">
      <c r="D547" t="str">
        <f>IF(C547="", "", _xlfn.XLOOKUP(C547, Members!B$3:XFD$3, Members!B$2:XFD$2))</f>
        <v/>
      </c>
    </row>
    <row r="548" spans="4:4" x14ac:dyDescent="0.3">
      <c r="D548" t="str">
        <f>IF(C548="", "", _xlfn.XLOOKUP(C548, Members!B$3:XFD$3, Members!B$2:XFD$2))</f>
        <v/>
      </c>
    </row>
    <row r="549" spans="4:4" x14ac:dyDescent="0.3">
      <c r="D549" t="str">
        <f>IF(C549="", "", _xlfn.XLOOKUP(C549, Members!B$3:XFD$3, Members!B$2:XFD$2))</f>
        <v/>
      </c>
    </row>
    <row r="550" spans="4:4" x14ac:dyDescent="0.3">
      <c r="D550" t="str">
        <f>IF(C550="", "", _xlfn.XLOOKUP(C550, Members!B$3:XFD$3, Members!B$2:XFD$2))</f>
        <v/>
      </c>
    </row>
    <row r="551" spans="4:4" x14ac:dyDescent="0.3">
      <c r="D551" t="str">
        <f>IF(C551="", "", _xlfn.XLOOKUP(C551, Members!B$3:XFD$3, Members!B$2:XFD$2))</f>
        <v/>
      </c>
    </row>
    <row r="552" spans="4:4" x14ac:dyDescent="0.3">
      <c r="D552" t="str">
        <f>IF(C552="", "", _xlfn.XLOOKUP(C552, Members!B$3:XFD$3, Members!B$2:XFD$2))</f>
        <v/>
      </c>
    </row>
    <row r="553" spans="4:4" x14ac:dyDescent="0.3">
      <c r="D553" t="str">
        <f>IF(C553="", "", _xlfn.XLOOKUP(C553, Members!B$3:XFD$3, Members!B$2:XFD$2))</f>
        <v/>
      </c>
    </row>
    <row r="554" spans="4:4" x14ac:dyDescent="0.3">
      <c r="D554" t="str">
        <f>IF(C554="", "", _xlfn.XLOOKUP(C554, Members!B$3:XFD$3, Members!B$2:XFD$2))</f>
        <v/>
      </c>
    </row>
    <row r="555" spans="4:4" x14ac:dyDescent="0.3">
      <c r="D555" t="str">
        <f>IF(C555="", "", _xlfn.XLOOKUP(C555, Members!B$3:XFD$3, Members!B$2:XFD$2))</f>
        <v/>
      </c>
    </row>
    <row r="556" spans="4:4" x14ac:dyDescent="0.3">
      <c r="D556" t="str">
        <f>IF(C556="", "", _xlfn.XLOOKUP(C556, Members!B$3:XFD$3, Members!B$2:XFD$2))</f>
        <v/>
      </c>
    </row>
    <row r="557" spans="4:4" x14ac:dyDescent="0.3">
      <c r="D557" t="str">
        <f>IF(C557="", "", _xlfn.XLOOKUP(C557, Members!B$3:XFD$3, Members!B$2:XFD$2))</f>
        <v/>
      </c>
    </row>
    <row r="558" spans="4:4" x14ac:dyDescent="0.3">
      <c r="D558" t="str">
        <f>IF(C558="", "", _xlfn.XLOOKUP(C558, Members!B$3:XFD$3, Members!B$2:XFD$2))</f>
        <v/>
      </c>
    </row>
    <row r="559" spans="4:4" x14ac:dyDescent="0.3">
      <c r="D559" t="str">
        <f>IF(C559="", "", _xlfn.XLOOKUP(C559, Members!B$3:XFD$3, Members!B$2:XFD$2))</f>
        <v/>
      </c>
    </row>
    <row r="560" spans="4:4" x14ac:dyDescent="0.3">
      <c r="D560" t="str">
        <f>IF(C560="", "", _xlfn.XLOOKUP(C560, Members!B$3:XFD$3, Members!B$2:XFD$2))</f>
        <v/>
      </c>
    </row>
    <row r="561" spans="4:4" x14ac:dyDescent="0.3">
      <c r="D561" t="str">
        <f>IF(C561="", "", _xlfn.XLOOKUP(C561, Members!B$3:XFD$3, Members!B$2:XFD$2))</f>
        <v/>
      </c>
    </row>
    <row r="562" spans="4:4" x14ac:dyDescent="0.3">
      <c r="D562" t="str">
        <f>IF(C562="", "", _xlfn.XLOOKUP(C562, Members!B$3:XFD$3, Members!B$2:XFD$2))</f>
        <v/>
      </c>
    </row>
    <row r="563" spans="4:4" x14ac:dyDescent="0.3">
      <c r="D563" t="str">
        <f>IF(C563="", "", _xlfn.XLOOKUP(C563, Members!B$3:XFD$3, Members!B$2:XFD$2))</f>
        <v/>
      </c>
    </row>
    <row r="564" spans="4:4" x14ac:dyDescent="0.3">
      <c r="D564" t="str">
        <f>IF(C564="", "", _xlfn.XLOOKUP(C564, Members!B$3:XFD$3, Members!B$2:XFD$2))</f>
        <v/>
      </c>
    </row>
    <row r="565" spans="4:4" x14ac:dyDescent="0.3">
      <c r="D565" t="str">
        <f>IF(C565="", "", _xlfn.XLOOKUP(C565, Members!B$3:XFD$3, Members!B$2:XFD$2))</f>
        <v/>
      </c>
    </row>
    <row r="566" spans="4:4" x14ac:dyDescent="0.3">
      <c r="D566" t="str">
        <f>IF(C566="", "", _xlfn.XLOOKUP(C566, Members!B$3:XFD$3, Members!B$2:XFD$2))</f>
        <v/>
      </c>
    </row>
    <row r="567" spans="4:4" x14ac:dyDescent="0.3">
      <c r="D567" t="str">
        <f>IF(C567="", "", _xlfn.XLOOKUP(C567, Members!B$3:XFD$3, Members!B$2:XFD$2))</f>
        <v/>
      </c>
    </row>
    <row r="568" spans="4:4" x14ac:dyDescent="0.3">
      <c r="D568" t="str">
        <f>IF(C568="", "", _xlfn.XLOOKUP(C568, Members!B$3:XFD$3, Members!B$2:XFD$2))</f>
        <v/>
      </c>
    </row>
    <row r="569" spans="4:4" x14ac:dyDescent="0.3">
      <c r="D569" t="str">
        <f>IF(C569="", "", _xlfn.XLOOKUP(C569, Members!B$3:XFD$3, Members!B$2:XFD$2))</f>
        <v/>
      </c>
    </row>
    <row r="570" spans="4:4" x14ac:dyDescent="0.3">
      <c r="D570" t="str">
        <f>IF(C570="", "", _xlfn.XLOOKUP(C570, Members!B$3:XFD$3, Members!B$2:XFD$2))</f>
        <v/>
      </c>
    </row>
    <row r="571" spans="4:4" x14ac:dyDescent="0.3">
      <c r="D571" t="str">
        <f>IF(C571="", "", _xlfn.XLOOKUP(C571, Members!B$3:XFD$3, Members!B$2:XFD$2))</f>
        <v/>
      </c>
    </row>
    <row r="572" spans="4:4" x14ac:dyDescent="0.3">
      <c r="D572" t="str">
        <f>IF(C572="", "", _xlfn.XLOOKUP(C572, Members!B$3:XFD$3, Members!B$2:XFD$2))</f>
        <v/>
      </c>
    </row>
    <row r="573" spans="4:4" x14ac:dyDescent="0.3">
      <c r="D573" t="str">
        <f>IF(C573="", "", _xlfn.XLOOKUP(C573, Members!B$3:XFD$3, Members!B$2:XFD$2))</f>
        <v/>
      </c>
    </row>
    <row r="574" spans="4:4" x14ac:dyDescent="0.3">
      <c r="D574" t="str">
        <f>IF(C574="", "", _xlfn.XLOOKUP(C574, Members!B$3:XFD$3, Members!B$2:XFD$2))</f>
        <v/>
      </c>
    </row>
    <row r="575" spans="4:4" x14ac:dyDescent="0.3">
      <c r="D575" t="str">
        <f>IF(C575="", "", _xlfn.XLOOKUP(C575, Members!B$3:XFD$3, Members!B$2:XFD$2))</f>
        <v/>
      </c>
    </row>
    <row r="576" spans="4:4" x14ac:dyDescent="0.3">
      <c r="D576" t="str">
        <f>IF(C576="", "", _xlfn.XLOOKUP(C576, Members!B$3:XFD$3, Members!B$2:XFD$2))</f>
        <v/>
      </c>
    </row>
    <row r="577" spans="4:4" x14ac:dyDescent="0.3">
      <c r="D577" t="str">
        <f>IF(C577="", "", _xlfn.XLOOKUP(C577, Members!B$3:XFD$3, Members!B$2:XFD$2))</f>
        <v/>
      </c>
    </row>
    <row r="578" spans="4:4" x14ac:dyDescent="0.3">
      <c r="D578" t="str">
        <f>IF(C578="", "", _xlfn.XLOOKUP(C578, Members!B$3:XFD$3, Members!B$2:XFD$2))</f>
        <v/>
      </c>
    </row>
    <row r="579" spans="4:4" x14ac:dyDescent="0.3">
      <c r="D579" t="str">
        <f>IF(C579="", "", _xlfn.XLOOKUP(C579, Members!B$3:XFD$3, Members!B$2:XFD$2))</f>
        <v/>
      </c>
    </row>
    <row r="580" spans="4:4" x14ac:dyDescent="0.3">
      <c r="D580" t="str">
        <f>IF(C580="", "", _xlfn.XLOOKUP(C580, Members!B$3:XFD$3, Members!B$2:XFD$2))</f>
        <v/>
      </c>
    </row>
    <row r="581" spans="4:4" x14ac:dyDescent="0.3">
      <c r="D581" t="str">
        <f>IF(C581="", "", _xlfn.XLOOKUP(C581, Members!B$3:XFD$3, Members!B$2:XFD$2))</f>
        <v/>
      </c>
    </row>
    <row r="582" spans="4:4" x14ac:dyDescent="0.3">
      <c r="D582" t="str">
        <f>IF(C582="", "", _xlfn.XLOOKUP(C582, Members!B$3:XFD$3, Members!B$2:XFD$2))</f>
        <v/>
      </c>
    </row>
    <row r="583" spans="4:4" x14ac:dyDescent="0.3">
      <c r="D583" t="str">
        <f>IF(C583="", "", _xlfn.XLOOKUP(C583, Members!B$3:XFD$3, Members!B$2:XFD$2))</f>
        <v/>
      </c>
    </row>
    <row r="584" spans="4:4" x14ac:dyDescent="0.3">
      <c r="D584" t="str">
        <f>IF(C584="", "", _xlfn.XLOOKUP(C584, Members!B$3:XFD$3, Members!B$2:XFD$2))</f>
        <v/>
      </c>
    </row>
    <row r="585" spans="4:4" x14ac:dyDescent="0.3">
      <c r="D585" t="str">
        <f>IF(C585="", "", _xlfn.XLOOKUP(C585, Members!B$3:XFD$3, Members!B$2:XFD$2))</f>
        <v/>
      </c>
    </row>
    <row r="586" spans="4:4" x14ac:dyDescent="0.3">
      <c r="D586" t="str">
        <f>IF(C586="", "", _xlfn.XLOOKUP(C586, Members!B$3:XFD$3, Members!B$2:XFD$2))</f>
        <v/>
      </c>
    </row>
    <row r="587" spans="4:4" x14ac:dyDescent="0.3">
      <c r="D587" t="str">
        <f>IF(C587="", "", _xlfn.XLOOKUP(C587, Members!B$3:XFD$3, Members!B$2:XFD$2))</f>
        <v/>
      </c>
    </row>
    <row r="588" spans="4:4" x14ac:dyDescent="0.3">
      <c r="D588" t="str">
        <f>IF(C588="", "", _xlfn.XLOOKUP(C588, Members!B$3:XFD$3, Members!B$2:XFD$2))</f>
        <v/>
      </c>
    </row>
    <row r="589" spans="4:4" x14ac:dyDescent="0.3">
      <c r="D589" t="str">
        <f>IF(C589="", "", _xlfn.XLOOKUP(C589, Members!B$3:XFD$3, Members!B$2:XFD$2))</f>
        <v/>
      </c>
    </row>
    <row r="590" spans="4:4" x14ac:dyDescent="0.3">
      <c r="D590" t="str">
        <f>IF(C590="", "", _xlfn.XLOOKUP(C590, Members!B$3:XFD$3, Members!B$2:XFD$2))</f>
        <v/>
      </c>
    </row>
    <row r="591" spans="4:4" x14ac:dyDescent="0.3">
      <c r="D591" t="str">
        <f>IF(C591="", "", _xlfn.XLOOKUP(C591, Members!B$3:XFD$3, Members!B$2:XFD$2))</f>
        <v/>
      </c>
    </row>
    <row r="592" spans="4:4" x14ac:dyDescent="0.3">
      <c r="D592" t="str">
        <f>IF(C592="", "", _xlfn.XLOOKUP(C592, Members!B$3:XFD$3, Members!B$2:XFD$2))</f>
        <v/>
      </c>
    </row>
    <row r="593" spans="4:4" x14ac:dyDescent="0.3">
      <c r="D593" t="str">
        <f>IF(C593="", "", _xlfn.XLOOKUP(C593, Members!B$3:XFD$3, Members!B$2:XFD$2))</f>
        <v/>
      </c>
    </row>
    <row r="594" spans="4:4" x14ac:dyDescent="0.3">
      <c r="D594" t="str">
        <f>IF(C594="", "", _xlfn.XLOOKUP(C594, Members!B$3:XFD$3, Members!B$2:XFD$2))</f>
        <v/>
      </c>
    </row>
    <row r="595" spans="4:4" x14ac:dyDescent="0.3">
      <c r="D595" t="str">
        <f>IF(C595="", "", _xlfn.XLOOKUP(C595, Members!B$3:XFD$3, Members!B$2:XFD$2))</f>
        <v/>
      </c>
    </row>
    <row r="596" spans="4:4" x14ac:dyDescent="0.3">
      <c r="D596" t="str">
        <f>IF(C596="", "", _xlfn.XLOOKUP(C596, Members!B$3:XFD$3, Members!B$2:XFD$2))</f>
        <v/>
      </c>
    </row>
    <row r="597" spans="4:4" x14ac:dyDescent="0.3">
      <c r="D597" t="str">
        <f>IF(C597="", "", _xlfn.XLOOKUP(C597, Members!B$3:XFD$3, Members!B$2:XFD$2))</f>
        <v/>
      </c>
    </row>
    <row r="598" spans="4:4" x14ac:dyDescent="0.3">
      <c r="D598" t="str">
        <f>IF(C598="", "", _xlfn.XLOOKUP(C598, Members!B$3:XFD$3, Members!B$2:XFD$2))</f>
        <v/>
      </c>
    </row>
    <row r="599" spans="4:4" x14ac:dyDescent="0.3">
      <c r="D599" t="str">
        <f>IF(C599="", "", _xlfn.XLOOKUP(C599, Members!B$3:XFD$3, Members!B$2:XFD$2))</f>
        <v/>
      </c>
    </row>
    <row r="600" spans="4:4" x14ac:dyDescent="0.3">
      <c r="D600" t="str">
        <f>IF(C600="", "", _xlfn.XLOOKUP(C600, Members!B$3:XFD$3, Members!B$2:XFD$2))</f>
        <v/>
      </c>
    </row>
    <row r="601" spans="4:4" x14ac:dyDescent="0.3">
      <c r="D601" t="str">
        <f>IF(C601="", "", _xlfn.XLOOKUP(C601, Members!B$3:XFD$3, Members!B$2:XFD$2))</f>
        <v/>
      </c>
    </row>
    <row r="602" spans="4:4" x14ac:dyDescent="0.3">
      <c r="D602" t="str">
        <f>IF(C602="", "", _xlfn.XLOOKUP(C602, Members!B$3:XFD$3, Members!B$2:XFD$2))</f>
        <v/>
      </c>
    </row>
    <row r="603" spans="4:4" x14ac:dyDescent="0.3">
      <c r="D603" t="str">
        <f>IF(C603="", "", _xlfn.XLOOKUP(C603, Members!B$3:XFD$3, Members!B$2:XFD$2))</f>
        <v/>
      </c>
    </row>
    <row r="604" spans="4:4" x14ac:dyDescent="0.3">
      <c r="D604" t="str">
        <f>IF(C604="", "", _xlfn.XLOOKUP(C604, Members!B$3:XFD$3, Members!B$2:XFD$2))</f>
        <v/>
      </c>
    </row>
    <row r="605" spans="4:4" x14ac:dyDescent="0.3">
      <c r="D605" t="str">
        <f>IF(C605="", "", _xlfn.XLOOKUP(C605, Members!B$3:XFD$3, Members!B$2:XFD$2))</f>
        <v/>
      </c>
    </row>
    <row r="606" spans="4:4" x14ac:dyDescent="0.3">
      <c r="D606" t="str">
        <f>IF(C606="", "", _xlfn.XLOOKUP(C606, Members!B$3:XFD$3, Members!B$2:XFD$2))</f>
        <v/>
      </c>
    </row>
    <row r="607" spans="4:4" x14ac:dyDescent="0.3">
      <c r="D607" t="str">
        <f>IF(C607="", "", _xlfn.XLOOKUP(C607, Members!B$3:XFD$3, Members!B$2:XFD$2))</f>
        <v/>
      </c>
    </row>
    <row r="608" spans="4:4" x14ac:dyDescent="0.3">
      <c r="D608" t="str">
        <f>IF(C608="", "", _xlfn.XLOOKUP(C608, Members!B$3:XFD$3, Members!B$2:XFD$2))</f>
        <v/>
      </c>
    </row>
    <row r="609" spans="4:4" x14ac:dyDescent="0.3">
      <c r="D609" t="str">
        <f>IF(C609="", "", _xlfn.XLOOKUP(C609, Members!B$3:XFD$3, Members!B$2:XFD$2))</f>
        <v/>
      </c>
    </row>
    <row r="610" spans="4:4" x14ac:dyDescent="0.3">
      <c r="D610" t="str">
        <f>IF(C610="", "", _xlfn.XLOOKUP(C610, Members!B$3:XFD$3, Members!B$2:XFD$2))</f>
        <v/>
      </c>
    </row>
    <row r="611" spans="4:4" x14ac:dyDescent="0.3">
      <c r="D611" t="str">
        <f>IF(C611="", "", _xlfn.XLOOKUP(C611, Members!B$3:XFD$3, Members!B$2:XFD$2))</f>
        <v/>
      </c>
    </row>
    <row r="612" spans="4:4" x14ac:dyDescent="0.3">
      <c r="D612" t="str">
        <f>IF(C612="", "", _xlfn.XLOOKUP(C612, Members!B$3:XFD$3, Members!B$2:XFD$2))</f>
        <v/>
      </c>
    </row>
    <row r="613" spans="4:4" x14ac:dyDescent="0.3">
      <c r="D613" t="str">
        <f>IF(C613="", "", _xlfn.XLOOKUP(C613, Members!B$3:XFD$3, Members!B$2:XFD$2))</f>
        <v/>
      </c>
    </row>
    <row r="614" spans="4:4" x14ac:dyDescent="0.3">
      <c r="D614" t="str">
        <f>IF(C614="", "", _xlfn.XLOOKUP(C614, Members!B$3:XFD$3, Members!B$2:XFD$2))</f>
        <v/>
      </c>
    </row>
    <row r="615" spans="4:4" x14ac:dyDescent="0.3">
      <c r="D615" t="str">
        <f>IF(C615="", "", _xlfn.XLOOKUP(C615, Members!B$3:XFD$3, Members!B$2:XFD$2))</f>
        <v/>
      </c>
    </row>
    <row r="616" spans="4:4" x14ac:dyDescent="0.3">
      <c r="D616" t="str">
        <f>IF(C616="", "", _xlfn.XLOOKUP(C616, Members!B$3:XFD$3, Members!B$2:XFD$2))</f>
        <v/>
      </c>
    </row>
    <row r="617" spans="4:4" x14ac:dyDescent="0.3">
      <c r="D617" t="str">
        <f>IF(C617="", "", _xlfn.XLOOKUP(C617, Members!B$3:XFD$3, Members!B$2:XFD$2))</f>
        <v/>
      </c>
    </row>
    <row r="618" spans="4:4" x14ac:dyDescent="0.3">
      <c r="D618" t="str">
        <f>IF(C618="", "", _xlfn.XLOOKUP(C618, Members!B$3:XFD$3, Members!B$2:XFD$2))</f>
        <v/>
      </c>
    </row>
    <row r="619" spans="4:4" x14ac:dyDescent="0.3">
      <c r="D619" t="str">
        <f>IF(C619="", "", _xlfn.XLOOKUP(C619, Members!B$3:XFD$3, Members!B$2:XFD$2))</f>
        <v/>
      </c>
    </row>
    <row r="620" spans="4:4" x14ac:dyDescent="0.3">
      <c r="D620" t="str">
        <f>IF(C620="", "", _xlfn.XLOOKUP(C620, Members!B$3:XFD$3, Members!B$2:XFD$2))</f>
        <v/>
      </c>
    </row>
    <row r="621" spans="4:4" x14ac:dyDescent="0.3">
      <c r="D621" t="str">
        <f>IF(C621="", "", _xlfn.XLOOKUP(C621, Members!B$3:XFD$3, Members!B$2:XFD$2))</f>
        <v/>
      </c>
    </row>
    <row r="622" spans="4:4" x14ac:dyDescent="0.3">
      <c r="D622" t="str">
        <f>IF(C622="", "", _xlfn.XLOOKUP(C622, Members!B$3:XFD$3, Members!B$2:XFD$2))</f>
        <v/>
      </c>
    </row>
    <row r="623" spans="4:4" x14ac:dyDescent="0.3">
      <c r="D623" t="str">
        <f>IF(C623="", "", _xlfn.XLOOKUP(C623, Members!B$3:XFD$3, Members!B$2:XFD$2))</f>
        <v/>
      </c>
    </row>
    <row r="624" spans="4:4" x14ac:dyDescent="0.3">
      <c r="D624" t="str">
        <f>IF(C624="", "", _xlfn.XLOOKUP(C624, Members!B$3:XFD$3, Members!B$2:XFD$2))</f>
        <v/>
      </c>
    </row>
    <row r="625" spans="4:4" x14ac:dyDescent="0.3">
      <c r="D625" t="str">
        <f>IF(C625="", "", _xlfn.XLOOKUP(C625, Members!B$3:XFD$3, Members!B$2:XFD$2))</f>
        <v/>
      </c>
    </row>
    <row r="626" spans="4:4" x14ac:dyDescent="0.3">
      <c r="D626" t="str">
        <f>IF(C626="", "", _xlfn.XLOOKUP(C626, Members!B$3:XFD$3, Members!B$2:XFD$2))</f>
        <v/>
      </c>
    </row>
    <row r="627" spans="4:4" x14ac:dyDescent="0.3">
      <c r="D627" t="str">
        <f>IF(C627="", "", _xlfn.XLOOKUP(C627, Members!B$3:XFD$3, Members!B$2:XFD$2))</f>
        <v/>
      </c>
    </row>
    <row r="628" spans="4:4" x14ac:dyDescent="0.3">
      <c r="D628" t="str">
        <f>IF(C628="", "", _xlfn.XLOOKUP(C628, Members!B$3:XFD$3, Members!B$2:XFD$2))</f>
        <v/>
      </c>
    </row>
    <row r="629" spans="4:4" x14ac:dyDescent="0.3">
      <c r="D629" t="str">
        <f>IF(C629="", "", _xlfn.XLOOKUP(C629, Members!B$3:XFD$3, Members!B$2:XFD$2))</f>
        <v/>
      </c>
    </row>
    <row r="630" spans="4:4" x14ac:dyDescent="0.3">
      <c r="D630" t="str">
        <f>IF(C630="", "", _xlfn.XLOOKUP(C630, Members!B$3:XFD$3, Members!B$2:XFD$2))</f>
        <v/>
      </c>
    </row>
    <row r="631" spans="4:4" x14ac:dyDescent="0.3">
      <c r="D631" t="str">
        <f>IF(C631="", "", _xlfn.XLOOKUP(C631, Members!B$3:XFD$3, Members!B$2:XFD$2))</f>
        <v/>
      </c>
    </row>
    <row r="632" spans="4:4" x14ac:dyDescent="0.3">
      <c r="D632" t="str">
        <f>IF(C632="", "", _xlfn.XLOOKUP(C632, Members!B$3:XFD$3, Members!B$2:XFD$2))</f>
        <v/>
      </c>
    </row>
    <row r="633" spans="4:4" x14ac:dyDescent="0.3">
      <c r="D633" t="str">
        <f>IF(C633="", "", _xlfn.XLOOKUP(C633, Members!B$3:XFD$3, Members!B$2:XFD$2))</f>
        <v/>
      </c>
    </row>
    <row r="634" spans="4:4" x14ac:dyDescent="0.3">
      <c r="D634" t="str">
        <f>IF(C634="", "", _xlfn.XLOOKUP(C634, Members!B$3:XFD$3, Members!B$2:XFD$2))</f>
        <v/>
      </c>
    </row>
    <row r="635" spans="4:4" x14ac:dyDescent="0.3">
      <c r="D635" t="str">
        <f>IF(C635="", "", _xlfn.XLOOKUP(C635, Members!B$3:XFD$3, Members!B$2:XFD$2))</f>
        <v/>
      </c>
    </row>
    <row r="636" spans="4:4" x14ac:dyDescent="0.3">
      <c r="D636" t="str">
        <f>IF(C636="", "", _xlfn.XLOOKUP(C636, Members!B$3:XFD$3, Members!B$2:XFD$2))</f>
        <v/>
      </c>
    </row>
    <row r="637" spans="4:4" x14ac:dyDescent="0.3">
      <c r="D637" t="str">
        <f>IF(C637="", "", _xlfn.XLOOKUP(C637, Members!B$3:XFD$3, Members!B$2:XFD$2))</f>
        <v/>
      </c>
    </row>
    <row r="638" spans="4:4" x14ac:dyDescent="0.3">
      <c r="D638" t="str">
        <f>IF(C638="", "", _xlfn.XLOOKUP(C638, Members!B$3:XFD$3, Members!B$2:XFD$2))</f>
        <v/>
      </c>
    </row>
    <row r="639" spans="4:4" x14ac:dyDescent="0.3">
      <c r="D639" t="str">
        <f>IF(C639="", "", _xlfn.XLOOKUP(C639, Members!B$3:XFD$3, Members!B$2:XFD$2))</f>
        <v/>
      </c>
    </row>
    <row r="640" spans="4:4" x14ac:dyDescent="0.3">
      <c r="D640" t="str">
        <f>IF(C640="", "", _xlfn.XLOOKUP(C640, Members!B$3:XFD$3, Members!B$2:XFD$2))</f>
        <v/>
      </c>
    </row>
    <row r="641" spans="4:4" x14ac:dyDescent="0.3">
      <c r="D641" t="str">
        <f>IF(C641="", "", _xlfn.XLOOKUP(C641, Members!B$3:XFD$3, Members!B$2:XFD$2))</f>
        <v/>
      </c>
    </row>
    <row r="642" spans="4:4" x14ac:dyDescent="0.3">
      <c r="D642" t="str">
        <f>IF(C642="", "", _xlfn.XLOOKUP(C642, Members!B$3:XFD$3, Members!B$2:XFD$2))</f>
        <v/>
      </c>
    </row>
    <row r="643" spans="4:4" x14ac:dyDescent="0.3">
      <c r="D643" t="str">
        <f>IF(C643="", "", _xlfn.XLOOKUP(C643, Members!B$3:XFD$3, Members!B$2:XFD$2))</f>
        <v/>
      </c>
    </row>
    <row r="644" spans="4:4" x14ac:dyDescent="0.3">
      <c r="D644" t="str">
        <f>IF(C644="", "", _xlfn.XLOOKUP(C644, Members!B$3:XFD$3, Members!B$2:XFD$2))</f>
        <v/>
      </c>
    </row>
    <row r="645" spans="4:4" x14ac:dyDescent="0.3">
      <c r="D645" t="str">
        <f>IF(C645="", "", _xlfn.XLOOKUP(C645, Members!B$3:XFD$3, Members!B$2:XFD$2))</f>
        <v/>
      </c>
    </row>
    <row r="646" spans="4:4" x14ac:dyDescent="0.3">
      <c r="D646" t="str">
        <f>IF(C646="", "", _xlfn.XLOOKUP(C646, Members!B$3:XFD$3, Members!B$2:XFD$2))</f>
        <v/>
      </c>
    </row>
    <row r="647" spans="4:4" x14ac:dyDescent="0.3">
      <c r="D647" t="str">
        <f>IF(C647="", "", _xlfn.XLOOKUP(C647, Members!B$3:XFD$3, Members!B$2:XFD$2))</f>
        <v/>
      </c>
    </row>
    <row r="648" spans="4:4" x14ac:dyDescent="0.3">
      <c r="D648" t="str">
        <f>IF(C648="", "", _xlfn.XLOOKUP(C648, Members!B$3:XFD$3, Members!B$2:XFD$2))</f>
        <v/>
      </c>
    </row>
    <row r="649" spans="4:4" x14ac:dyDescent="0.3">
      <c r="D649" t="str">
        <f>IF(C649="", "", _xlfn.XLOOKUP(C649, Members!B$3:XFD$3, Members!B$2:XFD$2))</f>
        <v/>
      </c>
    </row>
    <row r="650" spans="4:4" x14ac:dyDescent="0.3">
      <c r="D650" t="str">
        <f>IF(C650="", "", _xlfn.XLOOKUP(C650, Members!B$3:XFD$3, Members!B$2:XFD$2))</f>
        <v/>
      </c>
    </row>
    <row r="651" spans="4:4" x14ac:dyDescent="0.3">
      <c r="D651" t="str">
        <f>IF(C651="", "", _xlfn.XLOOKUP(C651, Members!B$3:XFD$3, Members!B$2:XFD$2))</f>
        <v/>
      </c>
    </row>
    <row r="652" spans="4:4" x14ac:dyDescent="0.3">
      <c r="D652" t="str">
        <f>IF(C652="", "", _xlfn.XLOOKUP(C652, Members!B$3:XFD$3, Members!B$2:XFD$2))</f>
        <v/>
      </c>
    </row>
    <row r="653" spans="4:4" x14ac:dyDescent="0.3">
      <c r="D653" t="str">
        <f>IF(C653="", "", _xlfn.XLOOKUP(C653, Members!B$3:XFD$3, Members!B$2:XFD$2))</f>
        <v/>
      </c>
    </row>
    <row r="654" spans="4:4" x14ac:dyDescent="0.3">
      <c r="D654" t="str">
        <f>IF(C654="", "", _xlfn.XLOOKUP(C654, Members!B$3:XFD$3, Members!B$2:XFD$2))</f>
        <v/>
      </c>
    </row>
    <row r="655" spans="4:4" x14ac:dyDescent="0.3">
      <c r="D655" t="str">
        <f>IF(C655="", "", _xlfn.XLOOKUP(C655, Members!B$3:XFD$3, Members!B$2:XFD$2))</f>
        <v/>
      </c>
    </row>
    <row r="656" spans="4:4" x14ac:dyDescent="0.3">
      <c r="D656" t="str">
        <f>IF(C656="", "", _xlfn.XLOOKUP(C656, Members!B$3:XFD$3, Members!B$2:XFD$2))</f>
        <v/>
      </c>
    </row>
    <row r="657" spans="4:4" x14ac:dyDescent="0.3">
      <c r="D657" t="str">
        <f>IF(C657="", "", _xlfn.XLOOKUP(C657, Members!B$3:XFD$3, Members!B$2:XFD$2))</f>
        <v/>
      </c>
    </row>
    <row r="658" spans="4:4" x14ac:dyDescent="0.3">
      <c r="D658" t="str">
        <f>IF(C658="", "", _xlfn.XLOOKUP(C658, Members!B$3:XFD$3, Members!B$2:XFD$2))</f>
        <v/>
      </c>
    </row>
    <row r="659" spans="4:4" x14ac:dyDescent="0.3">
      <c r="D659" t="str">
        <f>IF(C659="", "", _xlfn.XLOOKUP(C659, Members!B$3:XFD$3, Members!B$2:XFD$2))</f>
        <v/>
      </c>
    </row>
    <row r="660" spans="4:4" x14ac:dyDescent="0.3">
      <c r="D660" t="str">
        <f>IF(C660="", "", _xlfn.XLOOKUP(C660, Members!B$3:XFD$3, Members!B$2:XFD$2))</f>
        <v/>
      </c>
    </row>
    <row r="661" spans="4:4" x14ac:dyDescent="0.3">
      <c r="D661" t="str">
        <f>IF(C661="", "", _xlfn.XLOOKUP(C661, Members!B$3:XFD$3, Members!B$2:XFD$2))</f>
        <v/>
      </c>
    </row>
    <row r="662" spans="4:4" x14ac:dyDescent="0.3">
      <c r="D662" t="str">
        <f>IF(C662="", "", _xlfn.XLOOKUP(C662, Members!B$3:XFD$3, Members!B$2:XFD$2))</f>
        <v/>
      </c>
    </row>
    <row r="663" spans="4:4" x14ac:dyDescent="0.3">
      <c r="D663" t="str">
        <f>IF(C663="", "", _xlfn.XLOOKUP(C663, Members!B$3:XFD$3, Members!B$2:XFD$2))</f>
        <v/>
      </c>
    </row>
    <row r="664" spans="4:4" x14ac:dyDescent="0.3">
      <c r="D664" t="str">
        <f>IF(C664="", "", _xlfn.XLOOKUP(C664, Members!B$3:XFD$3, Members!B$2:XFD$2))</f>
        <v/>
      </c>
    </row>
    <row r="665" spans="4:4" x14ac:dyDescent="0.3">
      <c r="D665" t="str">
        <f>IF(C665="", "", _xlfn.XLOOKUP(C665, Members!B$3:XFD$3, Members!B$2:XFD$2))</f>
        <v/>
      </c>
    </row>
    <row r="666" spans="4:4" x14ac:dyDescent="0.3">
      <c r="D666" t="str">
        <f>IF(C666="", "", _xlfn.XLOOKUP(C666, Members!B$3:XFD$3, Members!B$2:XFD$2))</f>
        <v/>
      </c>
    </row>
    <row r="667" spans="4:4" x14ac:dyDescent="0.3">
      <c r="D667" t="str">
        <f>IF(C667="", "", _xlfn.XLOOKUP(C667, Members!B$3:XFD$3, Members!B$2:XFD$2))</f>
        <v/>
      </c>
    </row>
    <row r="668" spans="4:4" x14ac:dyDescent="0.3">
      <c r="D668" t="str">
        <f>IF(C668="", "", _xlfn.XLOOKUP(C668, Members!B$3:XFD$3, Members!B$2:XFD$2))</f>
        <v/>
      </c>
    </row>
    <row r="669" spans="4:4" x14ac:dyDescent="0.3">
      <c r="D669" t="str">
        <f>IF(C669="", "", _xlfn.XLOOKUP(C669, Members!B$3:XFD$3, Members!B$2:XFD$2))</f>
        <v/>
      </c>
    </row>
    <row r="670" spans="4:4" x14ac:dyDescent="0.3">
      <c r="D670" t="str">
        <f>IF(C670="", "", _xlfn.XLOOKUP(C670, Members!B$3:XFD$3, Members!B$2:XFD$2))</f>
        <v/>
      </c>
    </row>
    <row r="671" spans="4:4" x14ac:dyDescent="0.3">
      <c r="D671" t="str">
        <f>IF(C671="", "", _xlfn.XLOOKUP(C671, Members!B$3:XFD$3, Members!B$2:XFD$2))</f>
        <v/>
      </c>
    </row>
    <row r="672" spans="4:4" x14ac:dyDescent="0.3">
      <c r="D672" t="str">
        <f>IF(C672="", "", _xlfn.XLOOKUP(C672, Members!B$3:XFD$3, Members!B$2:XFD$2))</f>
        <v/>
      </c>
    </row>
    <row r="673" spans="4:4" x14ac:dyDescent="0.3">
      <c r="D673" t="str">
        <f>IF(C673="", "", _xlfn.XLOOKUP(C673, Members!B$3:XFD$3, Members!B$2:XFD$2))</f>
        <v/>
      </c>
    </row>
    <row r="674" spans="4:4" x14ac:dyDescent="0.3">
      <c r="D674" t="str">
        <f>IF(C674="", "", _xlfn.XLOOKUP(C674, Members!B$3:XFD$3, Members!B$2:XFD$2))</f>
        <v/>
      </c>
    </row>
    <row r="675" spans="4:4" x14ac:dyDescent="0.3">
      <c r="D675" t="str">
        <f>IF(C675="", "", _xlfn.XLOOKUP(C675, Members!B$3:XFD$3, Members!B$2:XFD$2))</f>
        <v/>
      </c>
    </row>
    <row r="676" spans="4:4" x14ac:dyDescent="0.3">
      <c r="D676" t="str">
        <f>IF(C676="", "", _xlfn.XLOOKUP(C676, Members!B$3:XFD$3, Members!B$2:XFD$2))</f>
        <v/>
      </c>
    </row>
    <row r="677" spans="4:4" x14ac:dyDescent="0.3">
      <c r="D677" t="str">
        <f>IF(C677="", "", _xlfn.XLOOKUP(C677, Members!B$3:XFD$3, Members!B$2:XFD$2))</f>
        <v/>
      </c>
    </row>
    <row r="678" spans="4:4" x14ac:dyDescent="0.3">
      <c r="D678" t="str">
        <f>IF(C678="", "", _xlfn.XLOOKUP(C678, Members!B$3:XFD$3, Members!B$2:XFD$2))</f>
        <v/>
      </c>
    </row>
    <row r="679" spans="4:4" x14ac:dyDescent="0.3">
      <c r="D679" t="str">
        <f>IF(C679="", "", _xlfn.XLOOKUP(C679, Members!B$3:XFD$3, Members!B$2:XFD$2))</f>
        <v/>
      </c>
    </row>
    <row r="680" spans="4:4" x14ac:dyDescent="0.3">
      <c r="D680" t="str">
        <f>IF(C680="", "", _xlfn.XLOOKUP(C680, Members!B$3:XFD$3, Members!B$2:XFD$2))</f>
        <v/>
      </c>
    </row>
    <row r="681" spans="4:4" x14ac:dyDescent="0.3">
      <c r="D681" t="str">
        <f>IF(C681="", "", _xlfn.XLOOKUP(C681, Members!B$3:XFD$3, Members!B$2:XFD$2))</f>
        <v/>
      </c>
    </row>
    <row r="682" spans="4:4" x14ac:dyDescent="0.3">
      <c r="D682" t="str">
        <f>IF(C682="", "", _xlfn.XLOOKUP(C682, Members!B$3:XFD$3, Members!B$2:XFD$2))</f>
        <v/>
      </c>
    </row>
    <row r="683" spans="4:4" x14ac:dyDescent="0.3">
      <c r="D683" t="str">
        <f>IF(C683="", "", _xlfn.XLOOKUP(C683, Members!B$3:XFD$3, Members!B$2:XFD$2))</f>
        <v/>
      </c>
    </row>
    <row r="684" spans="4:4" x14ac:dyDescent="0.3">
      <c r="D684" t="str">
        <f>IF(C684="", "", _xlfn.XLOOKUP(C684, Members!B$3:XFD$3, Members!B$2:XFD$2))</f>
        <v/>
      </c>
    </row>
    <row r="685" spans="4:4" x14ac:dyDescent="0.3">
      <c r="D685" t="str">
        <f>IF(C685="", "", _xlfn.XLOOKUP(C685, Members!B$3:XFD$3, Members!B$2:XFD$2))</f>
        <v/>
      </c>
    </row>
    <row r="686" spans="4:4" x14ac:dyDescent="0.3">
      <c r="D686" t="str">
        <f>IF(C686="", "", _xlfn.XLOOKUP(C686, Members!B$3:XFD$3, Members!B$2:XFD$2))</f>
        <v/>
      </c>
    </row>
    <row r="687" spans="4:4" x14ac:dyDescent="0.3">
      <c r="D687" t="str">
        <f>IF(C687="", "", _xlfn.XLOOKUP(C687, Members!B$3:XFD$3, Members!B$2:XFD$2))</f>
        <v/>
      </c>
    </row>
    <row r="688" spans="4:4" x14ac:dyDescent="0.3">
      <c r="D688" t="str">
        <f>IF(C688="", "", _xlfn.XLOOKUP(C688, Members!B$3:XFD$3, Members!B$2:XFD$2))</f>
        <v/>
      </c>
    </row>
    <row r="689" spans="4:4" x14ac:dyDescent="0.3">
      <c r="D689" t="str">
        <f>IF(C689="", "", _xlfn.XLOOKUP(C689, Members!B$3:XFD$3, Members!B$2:XFD$2))</f>
        <v/>
      </c>
    </row>
    <row r="690" spans="4:4" x14ac:dyDescent="0.3">
      <c r="D690" t="str">
        <f>IF(C690="", "", _xlfn.XLOOKUP(C690, Members!B$3:XFD$3, Members!B$2:XFD$2))</f>
        <v/>
      </c>
    </row>
    <row r="691" spans="4:4" x14ac:dyDescent="0.3">
      <c r="D691" t="str">
        <f>IF(C691="", "", _xlfn.XLOOKUP(C691, Members!B$3:XFD$3, Members!B$2:XFD$2))</f>
        <v/>
      </c>
    </row>
    <row r="692" spans="4:4" x14ac:dyDescent="0.3">
      <c r="D692" t="str">
        <f>IF(C692="", "", _xlfn.XLOOKUP(C692, Members!B$3:XFD$3, Members!B$2:XFD$2))</f>
        <v/>
      </c>
    </row>
    <row r="693" spans="4:4" x14ac:dyDescent="0.3">
      <c r="D693" t="str">
        <f>IF(C693="", "", _xlfn.XLOOKUP(C693, Members!B$3:XFD$3, Members!B$2:XFD$2))</f>
        <v/>
      </c>
    </row>
    <row r="694" spans="4:4" x14ac:dyDescent="0.3">
      <c r="D694" t="str">
        <f>IF(C694="", "", _xlfn.XLOOKUP(C694, Members!B$3:XFD$3, Members!B$2:XFD$2))</f>
        <v/>
      </c>
    </row>
    <row r="695" spans="4:4" x14ac:dyDescent="0.3">
      <c r="D695" t="str">
        <f>IF(C695="", "", _xlfn.XLOOKUP(C695, Members!B$3:XFD$3, Members!B$2:XFD$2))</f>
        <v/>
      </c>
    </row>
    <row r="696" spans="4:4" x14ac:dyDescent="0.3">
      <c r="D696" t="str">
        <f>IF(C696="", "", _xlfn.XLOOKUP(C696, Members!B$3:XFD$3, Members!B$2:XFD$2))</f>
        <v/>
      </c>
    </row>
    <row r="697" spans="4:4" x14ac:dyDescent="0.3">
      <c r="D697" t="str">
        <f>IF(C697="", "", _xlfn.XLOOKUP(C697, Members!B$3:XFD$3, Members!B$2:XFD$2))</f>
        <v/>
      </c>
    </row>
    <row r="698" spans="4:4" x14ac:dyDescent="0.3">
      <c r="D698" t="str">
        <f>IF(C698="", "", _xlfn.XLOOKUP(C698, Members!B$3:XFD$3, Members!B$2:XFD$2))</f>
        <v/>
      </c>
    </row>
    <row r="699" spans="4:4" x14ac:dyDescent="0.3">
      <c r="D699" t="str">
        <f>IF(C699="", "", _xlfn.XLOOKUP(C699, Members!B$3:XFD$3, Members!B$2:XFD$2))</f>
        <v/>
      </c>
    </row>
    <row r="700" spans="4:4" x14ac:dyDescent="0.3">
      <c r="D700" t="str">
        <f>IF(C700="", "", _xlfn.XLOOKUP(C700, Members!B$3:XFD$3, Members!B$2:XFD$2))</f>
        <v/>
      </c>
    </row>
    <row r="701" spans="4:4" x14ac:dyDescent="0.3">
      <c r="D701" t="str">
        <f>IF(C701="", "", _xlfn.XLOOKUP(C701, Members!B$3:XFD$3, Members!B$2:XFD$2))</f>
        <v/>
      </c>
    </row>
    <row r="702" spans="4:4" x14ac:dyDescent="0.3">
      <c r="D702" t="str">
        <f>IF(C702="", "", _xlfn.XLOOKUP(C702, Members!B$3:XFD$3, Members!B$2:XFD$2))</f>
        <v/>
      </c>
    </row>
    <row r="703" spans="4:4" x14ac:dyDescent="0.3">
      <c r="D703" t="str">
        <f>IF(C703="", "", _xlfn.XLOOKUP(C703, Members!B$3:XFD$3, Members!B$2:XFD$2))</f>
        <v/>
      </c>
    </row>
    <row r="704" spans="4:4" x14ac:dyDescent="0.3">
      <c r="D704" t="str">
        <f>IF(C704="", "", _xlfn.XLOOKUP(C704, Members!B$3:XFD$3, Members!B$2:XFD$2))</f>
        <v/>
      </c>
    </row>
    <row r="705" spans="4:4" x14ac:dyDescent="0.3">
      <c r="D705" t="str">
        <f>IF(C705="", "", _xlfn.XLOOKUP(C705, Members!B$3:XFD$3, Members!B$2:XFD$2))</f>
        <v/>
      </c>
    </row>
    <row r="706" spans="4:4" x14ac:dyDescent="0.3">
      <c r="D706" t="str">
        <f>IF(C706="", "", _xlfn.XLOOKUP(C706, Members!B$3:XFD$3, Members!B$2:XFD$2))</f>
        <v/>
      </c>
    </row>
    <row r="707" spans="4:4" x14ac:dyDescent="0.3">
      <c r="D707" t="str">
        <f>IF(C707="", "", _xlfn.XLOOKUP(C707, Members!B$3:XFD$3, Members!B$2:XFD$2))</f>
        <v/>
      </c>
    </row>
    <row r="708" spans="4:4" x14ac:dyDescent="0.3">
      <c r="D708" t="str">
        <f>IF(C708="", "", _xlfn.XLOOKUP(C708, Members!B$3:XFD$3, Members!B$2:XFD$2))</f>
        <v/>
      </c>
    </row>
    <row r="709" spans="4:4" x14ac:dyDescent="0.3">
      <c r="D709" t="str">
        <f>IF(C709="", "", _xlfn.XLOOKUP(C709, Members!B$3:XFD$3, Members!B$2:XFD$2))</f>
        <v/>
      </c>
    </row>
    <row r="710" spans="4:4" x14ac:dyDescent="0.3">
      <c r="D710" t="str">
        <f>IF(C710="", "", _xlfn.XLOOKUP(C710, Members!B$3:XFD$3, Members!B$2:XFD$2))</f>
        <v/>
      </c>
    </row>
    <row r="711" spans="4:4" x14ac:dyDescent="0.3">
      <c r="D711" t="str">
        <f>IF(C711="", "", _xlfn.XLOOKUP(C711, Members!B$3:XFD$3, Members!B$2:XFD$2))</f>
        <v/>
      </c>
    </row>
    <row r="712" spans="4:4" x14ac:dyDescent="0.3">
      <c r="D712" t="str">
        <f>IF(C712="", "", _xlfn.XLOOKUP(C712, Members!B$3:XFD$3, Members!B$2:XFD$2))</f>
        <v/>
      </c>
    </row>
    <row r="713" spans="4:4" x14ac:dyDescent="0.3">
      <c r="D713" t="str">
        <f>IF(C713="", "", _xlfn.XLOOKUP(C713, Members!B$3:XFD$3, Members!B$2:XFD$2))</f>
        <v/>
      </c>
    </row>
    <row r="714" spans="4:4" x14ac:dyDescent="0.3">
      <c r="D714" t="str">
        <f>IF(C714="", "", _xlfn.XLOOKUP(C714, Members!B$3:XFD$3, Members!B$2:XFD$2))</f>
        <v/>
      </c>
    </row>
    <row r="715" spans="4:4" x14ac:dyDescent="0.3">
      <c r="D715" t="str">
        <f>IF(C715="", "", _xlfn.XLOOKUP(C715, Members!B$3:XFD$3, Members!B$2:XFD$2))</f>
        <v/>
      </c>
    </row>
    <row r="716" spans="4:4" x14ac:dyDescent="0.3">
      <c r="D716" t="str">
        <f>IF(C716="", "", _xlfn.XLOOKUP(C716, Members!B$3:XFD$3, Members!B$2:XFD$2))</f>
        <v/>
      </c>
    </row>
    <row r="717" spans="4:4" x14ac:dyDescent="0.3">
      <c r="D717" t="str">
        <f>IF(C717="", "", _xlfn.XLOOKUP(C717, Members!B$3:XFD$3, Members!B$2:XFD$2))</f>
        <v/>
      </c>
    </row>
    <row r="718" spans="4:4" x14ac:dyDescent="0.3">
      <c r="D718" t="str">
        <f>IF(C718="", "", _xlfn.XLOOKUP(C718, Members!B$3:XFD$3, Members!B$2:XFD$2))</f>
        <v/>
      </c>
    </row>
    <row r="719" spans="4:4" x14ac:dyDescent="0.3">
      <c r="D719" t="str">
        <f>IF(C719="", "", _xlfn.XLOOKUP(C719, Members!B$3:XFD$3, Members!B$2:XFD$2))</f>
        <v/>
      </c>
    </row>
    <row r="720" spans="4:4" x14ac:dyDescent="0.3">
      <c r="D720" t="str">
        <f>IF(C720="", "", _xlfn.XLOOKUP(C720, Members!B$3:XFD$3, Members!B$2:XFD$2))</f>
        <v/>
      </c>
    </row>
    <row r="721" spans="4:4" x14ac:dyDescent="0.3">
      <c r="D721" t="str">
        <f>IF(C721="", "", _xlfn.XLOOKUP(C721, Members!B$3:XFD$3, Members!B$2:XFD$2))</f>
        <v/>
      </c>
    </row>
    <row r="722" spans="4:4" x14ac:dyDescent="0.3">
      <c r="D722" t="str">
        <f>IF(C722="", "", _xlfn.XLOOKUP(C722, Members!B$3:XFD$3, Members!B$2:XFD$2))</f>
        <v/>
      </c>
    </row>
    <row r="723" spans="4:4" x14ac:dyDescent="0.3">
      <c r="D723" t="str">
        <f>IF(C723="", "", _xlfn.XLOOKUP(C723, Members!B$3:XFD$3, Members!B$2:XFD$2))</f>
        <v/>
      </c>
    </row>
    <row r="724" spans="4:4" x14ac:dyDescent="0.3">
      <c r="D724" t="str">
        <f>IF(C724="", "", _xlfn.XLOOKUP(C724, Members!B$3:XFD$3, Members!B$2:XFD$2))</f>
        <v/>
      </c>
    </row>
    <row r="725" spans="4:4" x14ac:dyDescent="0.3">
      <c r="D725" t="str">
        <f>IF(C725="", "", _xlfn.XLOOKUP(C725, Members!B$3:XFD$3, Members!B$2:XFD$2))</f>
        <v/>
      </c>
    </row>
    <row r="726" spans="4:4" x14ac:dyDescent="0.3">
      <c r="D726" t="str">
        <f>IF(C726="", "", _xlfn.XLOOKUP(C726, Members!B$3:XFD$3, Members!B$2:XFD$2))</f>
        <v/>
      </c>
    </row>
    <row r="727" spans="4:4" x14ac:dyDescent="0.3">
      <c r="D727" t="str">
        <f>IF(C727="", "", _xlfn.XLOOKUP(C727, Members!B$3:XFD$3, Members!B$2:XFD$2))</f>
        <v/>
      </c>
    </row>
    <row r="728" spans="4:4" x14ac:dyDescent="0.3">
      <c r="D728" t="str">
        <f>IF(C728="", "", _xlfn.XLOOKUP(C728, Members!B$3:XFD$3, Members!B$2:XFD$2))</f>
        <v/>
      </c>
    </row>
    <row r="729" spans="4:4" x14ac:dyDescent="0.3">
      <c r="D729" t="str">
        <f>IF(C729="", "", _xlfn.XLOOKUP(C729, Members!B$3:XFD$3, Members!B$2:XFD$2))</f>
        <v/>
      </c>
    </row>
    <row r="730" spans="4:4" x14ac:dyDescent="0.3">
      <c r="D730" t="str">
        <f>IF(C730="", "", _xlfn.XLOOKUP(C730, Members!B$3:XFD$3, Members!B$2:XFD$2))</f>
        <v/>
      </c>
    </row>
    <row r="731" spans="4:4" x14ac:dyDescent="0.3">
      <c r="D731" t="str">
        <f>IF(C731="", "", _xlfn.XLOOKUP(C731, Members!B$3:XFD$3, Members!B$2:XFD$2))</f>
        <v/>
      </c>
    </row>
    <row r="732" spans="4:4" x14ac:dyDescent="0.3">
      <c r="D732" t="str">
        <f>IF(C732="", "", _xlfn.XLOOKUP(C732, Members!B$3:XFD$3, Members!B$2:XFD$2))</f>
        <v/>
      </c>
    </row>
    <row r="733" spans="4:4" x14ac:dyDescent="0.3">
      <c r="D733" t="str">
        <f>IF(C733="", "", _xlfn.XLOOKUP(C733, Members!B$3:XFD$3, Members!B$2:XFD$2))</f>
        <v/>
      </c>
    </row>
    <row r="734" spans="4:4" x14ac:dyDescent="0.3">
      <c r="D734" t="str">
        <f>IF(C734="", "", _xlfn.XLOOKUP(C734, Members!B$3:XFD$3, Members!B$2:XFD$2))</f>
        <v/>
      </c>
    </row>
    <row r="735" spans="4:4" x14ac:dyDescent="0.3">
      <c r="D735" t="str">
        <f>IF(C735="", "", _xlfn.XLOOKUP(C735, Members!B$3:XFD$3, Members!B$2:XFD$2))</f>
        <v/>
      </c>
    </row>
    <row r="736" spans="4:4" x14ac:dyDescent="0.3">
      <c r="D736" t="str">
        <f>IF(C736="", "", _xlfn.XLOOKUP(C736, Members!B$3:XFD$3, Members!B$2:XFD$2))</f>
        <v/>
      </c>
    </row>
    <row r="737" spans="4:4" x14ac:dyDescent="0.3">
      <c r="D737" t="str">
        <f>IF(C737="", "", _xlfn.XLOOKUP(C737, Members!B$3:XFD$3, Members!B$2:XFD$2))</f>
        <v/>
      </c>
    </row>
    <row r="738" spans="4:4" x14ac:dyDescent="0.3">
      <c r="D738" t="str">
        <f>IF(C738="", "", _xlfn.XLOOKUP(C738, Members!B$3:XFD$3, Members!B$2:XFD$2))</f>
        <v/>
      </c>
    </row>
    <row r="739" spans="4:4" x14ac:dyDescent="0.3">
      <c r="D739" t="str">
        <f>IF(C739="", "", _xlfn.XLOOKUP(C739, Members!B$3:XFD$3, Members!B$2:XFD$2))</f>
        <v/>
      </c>
    </row>
    <row r="740" spans="4:4" x14ac:dyDescent="0.3">
      <c r="D740" t="str">
        <f>IF(C740="", "", _xlfn.XLOOKUP(C740, Members!B$3:XFD$3, Members!B$2:XFD$2))</f>
        <v/>
      </c>
    </row>
    <row r="741" spans="4:4" x14ac:dyDescent="0.3">
      <c r="D741" t="str">
        <f>IF(C741="", "", _xlfn.XLOOKUP(C741, Members!B$3:XFD$3, Members!B$2:XFD$2))</f>
        <v/>
      </c>
    </row>
    <row r="742" spans="4:4" x14ac:dyDescent="0.3">
      <c r="D742" t="str">
        <f>IF(C742="", "", _xlfn.XLOOKUP(C742, Members!B$3:XFD$3, Members!B$2:XFD$2))</f>
        <v/>
      </c>
    </row>
    <row r="743" spans="4:4" x14ac:dyDescent="0.3">
      <c r="D743" t="str">
        <f>IF(C743="", "", _xlfn.XLOOKUP(C743, Members!B$3:XFD$3, Members!B$2:XFD$2))</f>
        <v/>
      </c>
    </row>
    <row r="744" spans="4:4" x14ac:dyDescent="0.3">
      <c r="D744" t="str">
        <f>IF(C744="", "", _xlfn.XLOOKUP(C744, Members!B$3:XFD$3, Members!B$2:XFD$2))</f>
        <v/>
      </c>
    </row>
    <row r="745" spans="4:4" x14ac:dyDescent="0.3">
      <c r="D745" t="str">
        <f>IF(C745="", "", _xlfn.XLOOKUP(C745, Members!B$3:XFD$3, Members!B$2:XFD$2))</f>
        <v/>
      </c>
    </row>
    <row r="746" spans="4:4" x14ac:dyDescent="0.3">
      <c r="D746" t="str">
        <f>IF(C746="", "", _xlfn.XLOOKUP(C746, Members!B$3:XFD$3, Members!B$2:XFD$2))</f>
        <v/>
      </c>
    </row>
    <row r="747" spans="4:4" x14ac:dyDescent="0.3">
      <c r="D747" t="str">
        <f>IF(C747="", "", _xlfn.XLOOKUP(C747, Members!B$3:XFD$3, Members!B$2:XFD$2))</f>
        <v/>
      </c>
    </row>
    <row r="748" spans="4:4" x14ac:dyDescent="0.3">
      <c r="D748" t="str">
        <f>IF(C748="", "", _xlfn.XLOOKUP(C748, Members!B$3:XFD$3, Members!B$2:XFD$2))</f>
        <v/>
      </c>
    </row>
    <row r="749" spans="4:4" x14ac:dyDescent="0.3">
      <c r="D749" t="str">
        <f>IF(C749="", "", _xlfn.XLOOKUP(C749, Members!B$3:XFD$3, Members!B$2:XFD$2))</f>
        <v/>
      </c>
    </row>
    <row r="750" spans="4:4" x14ac:dyDescent="0.3">
      <c r="D750" t="str">
        <f>IF(C750="", "", _xlfn.XLOOKUP(C750, Members!B$3:XFD$3, Members!B$2:XFD$2))</f>
        <v/>
      </c>
    </row>
    <row r="751" spans="4:4" x14ac:dyDescent="0.3">
      <c r="D751" t="str">
        <f>IF(C751="", "", _xlfn.XLOOKUP(C751, Members!B$3:XFD$3, Members!B$2:XFD$2))</f>
        <v/>
      </c>
    </row>
    <row r="752" spans="4:4" x14ac:dyDescent="0.3">
      <c r="D752" t="str">
        <f>IF(C752="", "", _xlfn.XLOOKUP(C752, Members!B$3:XFD$3, Members!B$2:XFD$2))</f>
        <v/>
      </c>
    </row>
    <row r="753" spans="4:4" x14ac:dyDescent="0.3">
      <c r="D753" t="str">
        <f>IF(C753="", "", _xlfn.XLOOKUP(C753, Members!B$3:XFD$3, Members!B$2:XFD$2))</f>
        <v/>
      </c>
    </row>
    <row r="754" spans="4:4" x14ac:dyDescent="0.3">
      <c r="D754" t="str">
        <f>IF(C754="", "", _xlfn.XLOOKUP(C754, Members!B$3:XFD$3, Members!B$2:XFD$2))</f>
        <v/>
      </c>
    </row>
    <row r="755" spans="4:4" x14ac:dyDescent="0.3">
      <c r="D755" t="str">
        <f>IF(C755="", "", _xlfn.XLOOKUP(C755, Members!B$3:XFD$3, Members!B$2:XFD$2))</f>
        <v/>
      </c>
    </row>
    <row r="756" spans="4:4" x14ac:dyDescent="0.3">
      <c r="D756" t="str">
        <f>IF(C756="", "", _xlfn.XLOOKUP(C756, Members!B$3:XFD$3, Members!B$2:XFD$2))</f>
        <v/>
      </c>
    </row>
    <row r="757" spans="4:4" x14ac:dyDescent="0.3">
      <c r="D757" t="str">
        <f>IF(C757="", "", _xlfn.XLOOKUP(C757, Members!B$3:XFD$3, Members!B$2:XFD$2))</f>
        <v/>
      </c>
    </row>
    <row r="758" spans="4:4" x14ac:dyDescent="0.3">
      <c r="D758" t="str">
        <f>IF(C758="", "", _xlfn.XLOOKUP(C758, Members!B$3:XFD$3, Members!B$2:XFD$2))</f>
        <v/>
      </c>
    </row>
    <row r="759" spans="4:4" x14ac:dyDescent="0.3">
      <c r="D759" t="str">
        <f>IF(C759="", "", _xlfn.XLOOKUP(C759, Members!B$3:XFD$3, Members!B$2:XFD$2))</f>
        <v/>
      </c>
    </row>
    <row r="760" spans="4:4" x14ac:dyDescent="0.3">
      <c r="D760" t="str">
        <f>IF(C760="", "", _xlfn.XLOOKUP(C760, Members!B$3:XFD$3, Members!B$2:XFD$2))</f>
        <v/>
      </c>
    </row>
    <row r="761" spans="4:4" x14ac:dyDescent="0.3">
      <c r="D761" t="str">
        <f>IF(C761="", "", _xlfn.XLOOKUP(C761, Members!B$3:XFD$3, Members!B$2:XFD$2))</f>
        <v/>
      </c>
    </row>
    <row r="762" spans="4:4" x14ac:dyDescent="0.3">
      <c r="D762" t="str">
        <f>IF(C762="", "", _xlfn.XLOOKUP(C762, Members!B$3:XFD$3, Members!B$2:XFD$2))</f>
        <v/>
      </c>
    </row>
    <row r="763" spans="4:4" x14ac:dyDescent="0.3">
      <c r="D763" t="str">
        <f>IF(C763="", "", _xlfn.XLOOKUP(C763, Members!B$3:XFD$3, Members!B$2:XFD$2))</f>
        <v/>
      </c>
    </row>
    <row r="764" spans="4:4" x14ac:dyDescent="0.3">
      <c r="D764" t="str">
        <f>IF(C764="", "", _xlfn.XLOOKUP(C764, Members!B$3:XFD$3, Members!B$2:XFD$2))</f>
        <v/>
      </c>
    </row>
    <row r="765" spans="4:4" x14ac:dyDescent="0.3">
      <c r="D765" t="str">
        <f>IF(C765="", "", _xlfn.XLOOKUP(C765, Members!B$3:XFD$3, Members!B$2:XFD$2))</f>
        <v/>
      </c>
    </row>
    <row r="766" spans="4:4" x14ac:dyDescent="0.3">
      <c r="D766" t="str">
        <f>IF(C766="", "", _xlfn.XLOOKUP(C766, Members!B$3:XFD$3, Members!B$2:XFD$2))</f>
        <v/>
      </c>
    </row>
    <row r="767" spans="4:4" x14ac:dyDescent="0.3">
      <c r="D767" t="str">
        <f>IF(C767="", "", _xlfn.XLOOKUP(C767, Members!B$3:XFD$3, Members!B$2:XFD$2))</f>
        <v/>
      </c>
    </row>
    <row r="768" spans="4:4" x14ac:dyDescent="0.3">
      <c r="D768" t="str">
        <f>IF(C768="", "", _xlfn.XLOOKUP(C768, Members!B$3:XFD$3, Members!B$2:XFD$2))</f>
        <v/>
      </c>
    </row>
    <row r="769" spans="4:4" x14ac:dyDescent="0.3">
      <c r="D769" t="str">
        <f>IF(C769="", "", _xlfn.XLOOKUP(C769, Members!B$3:XFD$3, Members!B$2:XFD$2))</f>
        <v/>
      </c>
    </row>
    <row r="770" spans="4:4" x14ac:dyDescent="0.3">
      <c r="D770" t="str">
        <f>IF(C770="", "", _xlfn.XLOOKUP(C770, Members!B$3:XFD$3, Members!B$2:XFD$2))</f>
        <v/>
      </c>
    </row>
    <row r="771" spans="4:4" x14ac:dyDescent="0.3">
      <c r="D771" t="str">
        <f>IF(C771="", "", _xlfn.XLOOKUP(C771, Members!B$3:XFD$3, Members!B$2:XFD$2))</f>
        <v/>
      </c>
    </row>
    <row r="772" spans="4:4" x14ac:dyDescent="0.3">
      <c r="D772" t="str">
        <f>IF(C772="", "", _xlfn.XLOOKUP(C772, Members!B$3:XFD$3, Members!B$2:XFD$2))</f>
        <v/>
      </c>
    </row>
    <row r="773" spans="4:4" x14ac:dyDescent="0.3">
      <c r="D773" t="str">
        <f>IF(C773="", "", _xlfn.XLOOKUP(C773, Members!B$3:XFD$3, Members!B$2:XFD$2))</f>
        <v/>
      </c>
    </row>
    <row r="774" spans="4:4" x14ac:dyDescent="0.3">
      <c r="D774" t="str">
        <f>IF(C774="", "", _xlfn.XLOOKUP(C774, Members!B$3:XFD$3, Members!B$2:XFD$2))</f>
        <v/>
      </c>
    </row>
    <row r="775" spans="4:4" x14ac:dyDescent="0.3">
      <c r="D775" t="str">
        <f>IF(C775="", "", _xlfn.XLOOKUP(C775, Members!B$3:XFD$3, Members!B$2:XFD$2))</f>
        <v/>
      </c>
    </row>
    <row r="776" spans="4:4" x14ac:dyDescent="0.3">
      <c r="D776" t="str">
        <f>IF(C776="", "", _xlfn.XLOOKUP(C776, Members!B$3:XFD$3, Members!B$2:XFD$2))</f>
        <v/>
      </c>
    </row>
    <row r="777" spans="4:4" x14ac:dyDescent="0.3">
      <c r="D777" t="str">
        <f>IF(C777="", "", _xlfn.XLOOKUP(C777, Members!B$3:XFD$3, Members!B$2:XFD$2))</f>
        <v/>
      </c>
    </row>
    <row r="778" spans="4:4" x14ac:dyDescent="0.3">
      <c r="D778" t="str">
        <f>IF(C778="", "", _xlfn.XLOOKUP(C778, Members!B$3:XFD$3, Members!B$2:XFD$2))</f>
        <v/>
      </c>
    </row>
    <row r="779" spans="4:4" x14ac:dyDescent="0.3">
      <c r="D779" t="str">
        <f>IF(C779="", "", _xlfn.XLOOKUP(C779, Members!B$3:XFD$3, Members!B$2:XFD$2))</f>
        <v/>
      </c>
    </row>
    <row r="780" spans="4:4" x14ac:dyDescent="0.3">
      <c r="D780" t="str">
        <f>IF(C780="", "", _xlfn.XLOOKUP(C780, Members!B$3:XFD$3, Members!B$2:XFD$2))</f>
        <v/>
      </c>
    </row>
    <row r="781" spans="4:4" x14ac:dyDescent="0.3">
      <c r="D781" t="str">
        <f>IF(C781="", "", _xlfn.XLOOKUP(C781, Members!B$3:XFD$3, Members!B$2:XFD$2))</f>
        <v/>
      </c>
    </row>
    <row r="782" spans="4:4" x14ac:dyDescent="0.3">
      <c r="D782" t="str">
        <f>IF(C782="", "", _xlfn.XLOOKUP(C782, Members!B$3:XFD$3, Members!B$2:XFD$2))</f>
        <v/>
      </c>
    </row>
    <row r="783" spans="4:4" x14ac:dyDescent="0.3">
      <c r="D783" t="str">
        <f>IF(C783="", "", _xlfn.XLOOKUP(C783, Members!B$3:XFD$3, Members!B$2:XFD$2))</f>
        <v/>
      </c>
    </row>
    <row r="784" spans="4:4" x14ac:dyDescent="0.3">
      <c r="D784" t="str">
        <f>IF(C784="", "", _xlfn.XLOOKUP(C784, Members!B$3:XFD$3, Members!B$2:XFD$2))</f>
        <v/>
      </c>
    </row>
    <row r="785" spans="4:4" x14ac:dyDescent="0.3">
      <c r="D785" t="str">
        <f>IF(C785="", "", _xlfn.XLOOKUP(C785, Members!B$3:XFD$3, Members!B$2:XFD$2))</f>
        <v/>
      </c>
    </row>
    <row r="786" spans="4:4" x14ac:dyDescent="0.3">
      <c r="D786" t="str">
        <f>IF(C786="", "", _xlfn.XLOOKUP(C786, Members!B$3:XFD$3, Members!B$2:XFD$2))</f>
        <v/>
      </c>
    </row>
    <row r="787" spans="4:4" x14ac:dyDescent="0.3">
      <c r="D787" t="str">
        <f>IF(C787="", "", _xlfn.XLOOKUP(C787, Members!B$3:XFD$3, Members!B$2:XFD$2))</f>
        <v/>
      </c>
    </row>
    <row r="788" spans="4:4" x14ac:dyDescent="0.3">
      <c r="D788" t="str">
        <f>IF(C788="", "", _xlfn.XLOOKUP(C788, Members!B$3:XFD$3, Members!B$2:XFD$2))</f>
        <v/>
      </c>
    </row>
    <row r="789" spans="4:4" x14ac:dyDescent="0.3">
      <c r="D789" t="str">
        <f>IF(C789="", "", _xlfn.XLOOKUP(C789, Members!B$3:XFD$3, Members!B$2:XFD$2))</f>
        <v/>
      </c>
    </row>
    <row r="790" spans="4:4" x14ac:dyDescent="0.3">
      <c r="D790" t="str">
        <f>IF(C790="", "", _xlfn.XLOOKUP(C790, Members!B$3:XFD$3, Members!B$2:XFD$2))</f>
        <v/>
      </c>
    </row>
    <row r="791" spans="4:4" x14ac:dyDescent="0.3">
      <c r="D791" t="str">
        <f>IF(C791="", "", _xlfn.XLOOKUP(C791, Members!B$3:XFD$3, Members!B$2:XFD$2))</f>
        <v/>
      </c>
    </row>
    <row r="792" spans="4:4" x14ac:dyDescent="0.3">
      <c r="D792" t="str">
        <f>IF(C792="", "", _xlfn.XLOOKUP(C792, Members!B$3:XFD$3, Members!B$2:XFD$2))</f>
        <v/>
      </c>
    </row>
    <row r="793" spans="4:4" x14ac:dyDescent="0.3">
      <c r="D793" t="str">
        <f>IF(C793="", "", _xlfn.XLOOKUP(C793, Members!B$3:XFD$3, Members!B$2:XFD$2))</f>
        <v/>
      </c>
    </row>
    <row r="794" spans="4:4" x14ac:dyDescent="0.3">
      <c r="D794" t="str">
        <f>IF(C794="", "", _xlfn.XLOOKUP(C794, Members!B$3:XFD$3, Members!B$2:XFD$2))</f>
        <v/>
      </c>
    </row>
    <row r="795" spans="4:4" x14ac:dyDescent="0.3">
      <c r="D795" t="str">
        <f>IF(C795="", "", _xlfn.XLOOKUP(C795, Members!B$3:XFD$3, Members!B$2:XFD$2))</f>
        <v/>
      </c>
    </row>
    <row r="796" spans="4:4" x14ac:dyDescent="0.3">
      <c r="D796" t="str">
        <f>IF(C796="", "", _xlfn.XLOOKUP(C796, Members!B$3:XFD$3, Members!B$2:XFD$2))</f>
        <v/>
      </c>
    </row>
    <row r="797" spans="4:4" x14ac:dyDescent="0.3">
      <c r="D797" t="str">
        <f>IF(C797="", "", _xlfn.XLOOKUP(C797, Members!B$3:XFD$3, Members!B$2:XFD$2))</f>
        <v/>
      </c>
    </row>
    <row r="798" spans="4:4" x14ac:dyDescent="0.3">
      <c r="D798" t="str">
        <f>IF(C798="", "", _xlfn.XLOOKUP(C798, Members!B$3:XFD$3, Members!B$2:XFD$2))</f>
        <v/>
      </c>
    </row>
    <row r="799" spans="4:4" x14ac:dyDescent="0.3">
      <c r="D799" t="str">
        <f>IF(C799="", "", _xlfn.XLOOKUP(C799, Members!B$3:XFD$3, Members!B$2:XFD$2))</f>
        <v/>
      </c>
    </row>
    <row r="800" spans="4:4" x14ac:dyDescent="0.3">
      <c r="D800" t="str">
        <f>IF(C800="", "", _xlfn.XLOOKUP(C800, Members!B$3:XFD$3, Members!B$2:XFD$2))</f>
        <v/>
      </c>
    </row>
    <row r="801" spans="4:4" x14ac:dyDescent="0.3">
      <c r="D801" t="str">
        <f>IF(C801="", "", _xlfn.XLOOKUP(C801, Members!B$3:XFD$3, Members!B$2:XFD$2))</f>
        <v/>
      </c>
    </row>
    <row r="802" spans="4:4" x14ac:dyDescent="0.3">
      <c r="D802" t="str">
        <f>IF(C802="", "", _xlfn.XLOOKUP(C802, Members!B$3:XFD$3, Members!B$2:XFD$2))</f>
        <v/>
      </c>
    </row>
    <row r="803" spans="4:4" x14ac:dyDescent="0.3">
      <c r="D803" t="str">
        <f>IF(C803="", "", _xlfn.XLOOKUP(C803, Members!B$3:XFD$3, Members!B$2:XFD$2))</f>
        <v/>
      </c>
    </row>
    <row r="804" spans="4:4" x14ac:dyDescent="0.3">
      <c r="D804" t="str">
        <f>IF(C804="", "", _xlfn.XLOOKUP(C804, Members!B$3:XFD$3, Members!B$2:XFD$2))</f>
        <v/>
      </c>
    </row>
    <row r="805" spans="4:4" x14ac:dyDescent="0.3">
      <c r="D805" t="str">
        <f>IF(C805="", "", _xlfn.XLOOKUP(C805, Members!B$3:XFD$3, Members!B$2:XFD$2))</f>
        <v/>
      </c>
    </row>
    <row r="806" spans="4:4" x14ac:dyDescent="0.3">
      <c r="D806" t="str">
        <f>IF(C806="", "", _xlfn.XLOOKUP(C806, Members!B$3:XFD$3, Members!B$2:XFD$2))</f>
        <v/>
      </c>
    </row>
    <row r="807" spans="4:4" x14ac:dyDescent="0.3">
      <c r="D807" t="str">
        <f>IF(C807="", "", _xlfn.XLOOKUP(C807, Members!B$3:XFD$3, Members!B$2:XFD$2))</f>
        <v/>
      </c>
    </row>
    <row r="808" spans="4:4" x14ac:dyDescent="0.3">
      <c r="D808" t="str">
        <f>IF(C808="", "", _xlfn.XLOOKUP(C808, Members!B$3:XFD$3, Members!B$2:XFD$2))</f>
        <v/>
      </c>
    </row>
    <row r="809" spans="4:4" x14ac:dyDescent="0.3">
      <c r="D809" t="str">
        <f>IF(C809="", "", _xlfn.XLOOKUP(C809, Members!B$3:XFD$3, Members!B$2:XFD$2))</f>
        <v/>
      </c>
    </row>
    <row r="810" spans="4:4" x14ac:dyDescent="0.3">
      <c r="D810" t="str">
        <f>IF(C810="", "", _xlfn.XLOOKUP(C810, Members!B$3:XFD$3, Members!B$2:XFD$2))</f>
        <v/>
      </c>
    </row>
    <row r="811" spans="4:4" x14ac:dyDescent="0.3">
      <c r="D811" t="str">
        <f>IF(C811="", "", _xlfn.XLOOKUP(C811, Members!B$3:XFD$3, Members!B$2:XFD$2))</f>
        <v/>
      </c>
    </row>
    <row r="812" spans="4:4" x14ac:dyDescent="0.3">
      <c r="D812" t="str">
        <f>IF(C812="", "", _xlfn.XLOOKUP(C812, Members!B$3:XFD$3, Members!B$2:XFD$2))</f>
        <v/>
      </c>
    </row>
    <row r="813" spans="4:4" x14ac:dyDescent="0.3">
      <c r="D813" t="str">
        <f>IF(C813="", "", _xlfn.XLOOKUP(C813, Members!B$3:XFD$3, Members!B$2:XFD$2))</f>
        <v/>
      </c>
    </row>
    <row r="814" spans="4:4" x14ac:dyDescent="0.3">
      <c r="D814" t="str">
        <f>IF(C814="", "", _xlfn.XLOOKUP(C814, Members!B$3:XFD$3, Members!B$2:XFD$2))</f>
        <v/>
      </c>
    </row>
    <row r="815" spans="4:4" x14ac:dyDescent="0.3">
      <c r="D815" t="str">
        <f>IF(C815="", "", _xlfn.XLOOKUP(C815, Members!B$3:XFD$3, Members!B$2:XFD$2))</f>
        <v/>
      </c>
    </row>
    <row r="816" spans="4:4" x14ac:dyDescent="0.3">
      <c r="D816" t="str">
        <f>IF(C816="", "", _xlfn.XLOOKUP(C816, Members!B$3:XFD$3, Members!B$2:XFD$2))</f>
        <v/>
      </c>
    </row>
    <row r="817" spans="4:4" x14ac:dyDescent="0.3">
      <c r="D817" t="str">
        <f>IF(C817="", "", _xlfn.XLOOKUP(C817, Members!B$3:XFD$3, Members!B$2:XFD$2))</f>
        <v/>
      </c>
    </row>
    <row r="818" spans="4:4" x14ac:dyDescent="0.3">
      <c r="D818" t="str">
        <f>IF(C818="", "", _xlfn.XLOOKUP(C818, Members!B$3:XFD$3, Members!B$2:XFD$2))</f>
        <v/>
      </c>
    </row>
    <row r="819" spans="4:4" x14ac:dyDescent="0.3">
      <c r="D819" t="str">
        <f>IF(C819="", "", _xlfn.XLOOKUP(C819, Members!B$3:XFD$3, Members!B$2:XFD$2))</f>
        <v/>
      </c>
    </row>
    <row r="820" spans="4:4" x14ac:dyDescent="0.3">
      <c r="D820" t="str">
        <f>IF(C820="", "", _xlfn.XLOOKUP(C820, Members!B$3:XFD$3, Members!B$2:XFD$2))</f>
        <v/>
      </c>
    </row>
    <row r="821" spans="4:4" x14ac:dyDescent="0.3">
      <c r="D821" t="str">
        <f>IF(C821="", "", _xlfn.XLOOKUP(C821, Members!B$3:XFD$3, Members!B$2:XFD$2))</f>
        <v/>
      </c>
    </row>
    <row r="822" spans="4:4" x14ac:dyDescent="0.3">
      <c r="D822" t="str">
        <f>IF(C822="", "", _xlfn.XLOOKUP(C822, Members!B$3:XFD$3, Members!B$2:XFD$2))</f>
        <v/>
      </c>
    </row>
    <row r="823" spans="4:4" x14ac:dyDescent="0.3">
      <c r="D823" t="str">
        <f>IF(C823="", "", _xlfn.XLOOKUP(C823, Members!B$3:XFD$3, Members!B$2:XFD$2))</f>
        <v/>
      </c>
    </row>
    <row r="824" spans="4:4" x14ac:dyDescent="0.3">
      <c r="D824" t="str">
        <f>IF(C824="", "", _xlfn.XLOOKUP(C824, Members!B$3:XFD$3, Members!B$2:XFD$2))</f>
        <v/>
      </c>
    </row>
    <row r="825" spans="4:4" x14ac:dyDescent="0.3">
      <c r="D825" t="str">
        <f>IF(C825="", "", _xlfn.XLOOKUP(C825, Members!B$3:XFD$3, Members!B$2:XFD$2))</f>
        <v/>
      </c>
    </row>
    <row r="826" spans="4:4" x14ac:dyDescent="0.3">
      <c r="D826" t="str">
        <f>IF(C826="", "", _xlfn.XLOOKUP(C826, Members!B$3:XFD$3, Members!B$2:XFD$2))</f>
        <v/>
      </c>
    </row>
    <row r="827" spans="4:4" x14ac:dyDescent="0.3">
      <c r="D827" t="str">
        <f>IF(C827="", "", _xlfn.XLOOKUP(C827, Members!B$3:XFD$3, Members!B$2:XFD$2))</f>
        <v/>
      </c>
    </row>
    <row r="828" spans="4:4" x14ac:dyDescent="0.3">
      <c r="D828" t="str">
        <f>IF(C828="", "", _xlfn.XLOOKUP(C828, Members!B$3:XFD$3, Members!B$2:XFD$2))</f>
        <v/>
      </c>
    </row>
    <row r="829" spans="4:4" x14ac:dyDescent="0.3">
      <c r="D829" t="str">
        <f>IF(C829="", "", _xlfn.XLOOKUP(C829, Members!B$3:XFD$3, Members!B$2:XFD$2))</f>
        <v/>
      </c>
    </row>
    <row r="830" spans="4:4" x14ac:dyDescent="0.3">
      <c r="D830" t="str">
        <f>IF(C830="", "", _xlfn.XLOOKUP(C830, Members!B$3:XFD$3, Members!B$2:XFD$2))</f>
        <v/>
      </c>
    </row>
    <row r="831" spans="4:4" x14ac:dyDescent="0.3">
      <c r="D831" t="str">
        <f>IF(C831="", "", _xlfn.XLOOKUP(C831, Members!B$3:XFD$3, Members!B$2:XFD$2))</f>
        <v/>
      </c>
    </row>
    <row r="832" spans="4:4" x14ac:dyDescent="0.3">
      <c r="D832" t="str">
        <f>IF(C832="", "", _xlfn.XLOOKUP(C832, Members!B$3:XFD$3, Members!B$2:XFD$2))</f>
        <v/>
      </c>
    </row>
    <row r="833" spans="4:4" x14ac:dyDescent="0.3">
      <c r="D833" t="str">
        <f>IF(C833="", "", _xlfn.XLOOKUP(C833, Members!B$3:XFD$3, Members!B$2:XFD$2))</f>
        <v/>
      </c>
    </row>
    <row r="834" spans="4:4" x14ac:dyDescent="0.3">
      <c r="D834" t="str">
        <f>IF(C834="", "", _xlfn.XLOOKUP(C834, Members!B$3:XFD$3, Members!B$2:XFD$2))</f>
        <v/>
      </c>
    </row>
    <row r="835" spans="4:4" x14ac:dyDescent="0.3">
      <c r="D835" t="str">
        <f>IF(C835="", "", _xlfn.XLOOKUP(C835, Members!B$3:XFD$3, Members!B$2:XFD$2))</f>
        <v/>
      </c>
    </row>
    <row r="836" spans="4:4" x14ac:dyDescent="0.3">
      <c r="D836" t="str">
        <f>IF(C836="", "", _xlfn.XLOOKUP(C836, Members!B$3:XFD$3, Members!B$2:XFD$2))</f>
        <v/>
      </c>
    </row>
    <row r="837" spans="4:4" x14ac:dyDescent="0.3">
      <c r="D837" t="str">
        <f>IF(C837="", "", _xlfn.XLOOKUP(C837, Members!B$3:XFD$3, Members!B$2:XFD$2))</f>
        <v/>
      </c>
    </row>
    <row r="838" spans="4:4" x14ac:dyDescent="0.3">
      <c r="D838" t="str">
        <f>IF(C838="", "", _xlfn.XLOOKUP(C838, Members!B$3:XFD$3, Members!B$2:XFD$2))</f>
        <v/>
      </c>
    </row>
    <row r="839" spans="4:4" x14ac:dyDescent="0.3">
      <c r="D839" t="str">
        <f>IF(C839="", "", _xlfn.XLOOKUP(C839, Members!B$3:XFD$3, Members!B$2:XFD$2))</f>
        <v/>
      </c>
    </row>
    <row r="840" spans="4:4" x14ac:dyDescent="0.3">
      <c r="D840" t="str">
        <f>IF(C840="", "", _xlfn.XLOOKUP(C840, Members!B$3:XFD$3, Members!B$2:XFD$2))</f>
        <v/>
      </c>
    </row>
    <row r="841" spans="4:4" x14ac:dyDescent="0.3">
      <c r="D841" t="str">
        <f>IF(C841="", "", _xlfn.XLOOKUP(C841, Members!B$3:XFD$3, Members!B$2:XFD$2))</f>
        <v/>
      </c>
    </row>
    <row r="842" spans="4:4" x14ac:dyDescent="0.3">
      <c r="D842" t="str">
        <f>IF(C842="", "", _xlfn.XLOOKUP(C842, Members!B$3:XFD$3, Members!B$2:XFD$2))</f>
        <v/>
      </c>
    </row>
    <row r="843" spans="4:4" x14ac:dyDescent="0.3">
      <c r="D843" t="str">
        <f>IF(C843="", "", _xlfn.XLOOKUP(C843, Members!B$3:XFD$3, Members!B$2:XFD$2))</f>
        <v/>
      </c>
    </row>
    <row r="844" spans="4:4" x14ac:dyDescent="0.3">
      <c r="D844" t="str">
        <f>IF(C844="", "", _xlfn.XLOOKUP(C844, Members!B$3:XFD$3, Members!B$2:XFD$2))</f>
        <v/>
      </c>
    </row>
    <row r="845" spans="4:4" x14ac:dyDescent="0.3">
      <c r="D845" t="str">
        <f>IF(C845="", "", _xlfn.XLOOKUP(C845, Members!B$3:XFD$3, Members!B$2:XFD$2))</f>
        <v/>
      </c>
    </row>
    <row r="846" spans="4:4" x14ac:dyDescent="0.3">
      <c r="D846" t="str">
        <f>IF(C846="", "", _xlfn.XLOOKUP(C846, Members!B$3:XFD$3, Members!B$2:XFD$2))</f>
        <v/>
      </c>
    </row>
    <row r="847" spans="4:4" x14ac:dyDescent="0.3">
      <c r="D847" t="str">
        <f>IF(C847="", "", _xlfn.XLOOKUP(C847, Members!B$3:XFD$3, Members!B$2:XFD$2))</f>
        <v/>
      </c>
    </row>
    <row r="848" spans="4:4" x14ac:dyDescent="0.3">
      <c r="D848" t="str">
        <f>IF(C848="", "", _xlfn.XLOOKUP(C848, Members!B$3:XFD$3, Members!B$2:XFD$2))</f>
        <v/>
      </c>
    </row>
    <row r="849" spans="4:4" x14ac:dyDescent="0.3">
      <c r="D849" t="str">
        <f>IF(C849="", "", _xlfn.XLOOKUP(C849, Members!B$3:XFD$3, Members!B$2:XFD$2))</f>
        <v/>
      </c>
    </row>
    <row r="850" spans="4:4" x14ac:dyDescent="0.3">
      <c r="D850" t="str">
        <f>IF(C850="", "", _xlfn.XLOOKUP(C850, Members!B$3:XFD$3, Members!B$2:XFD$2))</f>
        <v/>
      </c>
    </row>
    <row r="851" spans="4:4" x14ac:dyDescent="0.3">
      <c r="D851" t="str">
        <f>IF(C851="", "", _xlfn.XLOOKUP(C851, Members!B$3:XFD$3, Members!B$2:XFD$2))</f>
        <v/>
      </c>
    </row>
    <row r="852" spans="4:4" x14ac:dyDescent="0.3">
      <c r="D852" t="str">
        <f>IF(C852="", "", _xlfn.XLOOKUP(C852, Members!B$3:XFD$3, Members!B$2:XFD$2))</f>
        <v/>
      </c>
    </row>
    <row r="853" spans="4:4" x14ac:dyDescent="0.3">
      <c r="D853" t="str">
        <f>IF(C853="", "", _xlfn.XLOOKUP(C853, Members!B$3:XFD$3, Members!B$2:XFD$2))</f>
        <v/>
      </c>
    </row>
    <row r="854" spans="4:4" x14ac:dyDescent="0.3">
      <c r="D854" t="str">
        <f>IF(C854="", "", _xlfn.XLOOKUP(C854, Members!B$3:XFD$3, Members!B$2:XFD$2))</f>
        <v/>
      </c>
    </row>
    <row r="855" spans="4:4" x14ac:dyDescent="0.3">
      <c r="D855" t="str">
        <f>IF(C855="", "", _xlfn.XLOOKUP(C855, Members!B$3:XFD$3, Members!B$2:XFD$2))</f>
        <v/>
      </c>
    </row>
    <row r="856" spans="4:4" x14ac:dyDescent="0.3">
      <c r="D856" t="str">
        <f>IF(C856="", "", _xlfn.XLOOKUP(C856, Members!B$3:XFD$3, Members!B$2:XFD$2))</f>
        <v/>
      </c>
    </row>
    <row r="857" spans="4:4" x14ac:dyDescent="0.3">
      <c r="D857" t="str">
        <f>IF(C857="", "", _xlfn.XLOOKUP(C857, Members!B$3:XFD$3, Members!B$2:XFD$2))</f>
        <v/>
      </c>
    </row>
    <row r="858" spans="4:4" x14ac:dyDescent="0.3">
      <c r="D858" t="str">
        <f>IF(C858="", "", _xlfn.XLOOKUP(C858, Members!B$3:XFD$3, Members!B$2:XFD$2))</f>
        <v/>
      </c>
    </row>
    <row r="859" spans="4:4" x14ac:dyDescent="0.3">
      <c r="D859" t="str">
        <f>IF(C859="", "", _xlfn.XLOOKUP(C859, Members!B$3:XFD$3, Members!B$2:XFD$2))</f>
        <v/>
      </c>
    </row>
    <row r="860" spans="4:4" x14ac:dyDescent="0.3">
      <c r="D860" t="str">
        <f>IF(C860="", "", _xlfn.XLOOKUP(C860, Members!B$3:XFD$3, Members!B$2:XFD$2))</f>
        <v/>
      </c>
    </row>
    <row r="861" spans="4:4" x14ac:dyDescent="0.3">
      <c r="D861" t="str">
        <f>IF(C861="", "", _xlfn.XLOOKUP(C861, Members!B$3:XFD$3, Members!B$2:XFD$2))</f>
        <v/>
      </c>
    </row>
    <row r="862" spans="4:4" x14ac:dyDescent="0.3">
      <c r="D862" t="str">
        <f>IF(C862="", "", _xlfn.XLOOKUP(C862, Members!B$3:XFD$3, Members!B$2:XFD$2))</f>
        <v/>
      </c>
    </row>
    <row r="863" spans="4:4" x14ac:dyDescent="0.3">
      <c r="D863" t="str">
        <f>IF(C863="", "", _xlfn.XLOOKUP(C863, Members!B$3:XFD$3, Members!B$2:XFD$2))</f>
        <v/>
      </c>
    </row>
    <row r="864" spans="4:4" x14ac:dyDescent="0.3">
      <c r="D864" t="str">
        <f>IF(C864="", "", _xlfn.XLOOKUP(C864, Members!B$3:XFD$3, Members!B$2:XFD$2))</f>
        <v/>
      </c>
    </row>
    <row r="865" spans="4:4" x14ac:dyDescent="0.3">
      <c r="D865" t="str">
        <f>IF(C865="", "", _xlfn.XLOOKUP(C865, Members!B$3:XFD$3, Members!B$2:XFD$2))</f>
        <v/>
      </c>
    </row>
    <row r="866" spans="4:4" x14ac:dyDescent="0.3">
      <c r="D866" t="str">
        <f>IF(C866="", "", _xlfn.XLOOKUP(C866, Members!B$3:XFD$3, Members!B$2:XFD$2))</f>
        <v/>
      </c>
    </row>
    <row r="867" spans="4:4" x14ac:dyDescent="0.3">
      <c r="D867" t="str">
        <f>IF(C867="", "", _xlfn.XLOOKUP(C867, Members!B$3:XFD$3, Members!B$2:XFD$2))</f>
        <v/>
      </c>
    </row>
    <row r="868" spans="4:4" x14ac:dyDescent="0.3">
      <c r="D868" t="str">
        <f>IF(C868="", "", _xlfn.XLOOKUP(C868, Members!B$3:XFD$3, Members!B$2:XFD$2))</f>
        <v/>
      </c>
    </row>
    <row r="869" spans="4:4" x14ac:dyDescent="0.3">
      <c r="D869" t="str">
        <f>IF(C869="", "", _xlfn.XLOOKUP(C869, Members!B$3:XFD$3, Members!B$2:XFD$2))</f>
        <v/>
      </c>
    </row>
    <row r="870" spans="4:4" x14ac:dyDescent="0.3">
      <c r="D870" t="str">
        <f>IF(C870="", "", _xlfn.XLOOKUP(C870, Members!B$3:XFD$3, Members!B$2:XFD$2))</f>
        <v/>
      </c>
    </row>
    <row r="871" spans="4:4" x14ac:dyDescent="0.3">
      <c r="D871" t="str">
        <f>IF(C871="", "", _xlfn.XLOOKUP(C871, Members!B$3:XFD$3, Members!B$2:XFD$2))</f>
        <v/>
      </c>
    </row>
    <row r="872" spans="4:4" x14ac:dyDescent="0.3">
      <c r="D872" t="str">
        <f>IF(C872="", "", _xlfn.XLOOKUP(C872, Members!B$3:XFD$3, Members!B$2:XFD$2))</f>
        <v/>
      </c>
    </row>
    <row r="873" spans="4:4" x14ac:dyDescent="0.3">
      <c r="D873" t="str">
        <f>IF(C873="", "", _xlfn.XLOOKUP(C873, Members!B$3:XFD$3, Members!B$2:XFD$2))</f>
        <v/>
      </c>
    </row>
    <row r="874" spans="4:4" x14ac:dyDescent="0.3">
      <c r="D874" t="str">
        <f>IF(C874="", "", _xlfn.XLOOKUP(C874, Members!B$3:XFD$3, Members!B$2:XFD$2))</f>
        <v/>
      </c>
    </row>
    <row r="875" spans="4:4" x14ac:dyDescent="0.3">
      <c r="D875" t="str">
        <f>IF(C875="", "", _xlfn.XLOOKUP(C875, Members!B$3:XFD$3, Members!B$2:XFD$2))</f>
        <v/>
      </c>
    </row>
    <row r="876" spans="4:4" x14ac:dyDescent="0.3">
      <c r="D876" t="str">
        <f>IF(C876="", "", _xlfn.XLOOKUP(C876, Members!B$3:XFD$3, Members!B$2:XFD$2))</f>
        <v/>
      </c>
    </row>
    <row r="877" spans="4:4" x14ac:dyDescent="0.3">
      <c r="D877" t="str">
        <f>IF(C877="", "", _xlfn.XLOOKUP(C877, Members!B$3:XFD$3, Members!B$2:XFD$2))</f>
        <v/>
      </c>
    </row>
    <row r="878" spans="4:4" x14ac:dyDescent="0.3">
      <c r="D878" t="str">
        <f>IF(C878="", "", _xlfn.XLOOKUP(C878, Members!B$3:XFD$3, Members!B$2:XFD$2))</f>
        <v/>
      </c>
    </row>
    <row r="879" spans="4:4" x14ac:dyDescent="0.3">
      <c r="D879" t="str">
        <f>IF(C879="", "", _xlfn.XLOOKUP(C879, Members!B$3:XFD$3, Members!B$2:XFD$2))</f>
        <v/>
      </c>
    </row>
    <row r="880" spans="4:4" x14ac:dyDescent="0.3">
      <c r="D880" t="str">
        <f>IF(C880="", "", _xlfn.XLOOKUP(C880, Members!B$3:XFD$3, Members!B$2:XFD$2))</f>
        <v/>
      </c>
    </row>
    <row r="881" spans="4:4" x14ac:dyDescent="0.3">
      <c r="D881" t="str">
        <f>IF(C881="", "", _xlfn.XLOOKUP(C881, Members!B$3:XFD$3, Members!B$2:XFD$2))</f>
        <v/>
      </c>
    </row>
    <row r="882" spans="4:4" x14ac:dyDescent="0.3">
      <c r="D882" t="str">
        <f>IF(C882="", "", _xlfn.XLOOKUP(C882, Members!B$3:XFD$3, Members!B$2:XFD$2))</f>
        <v/>
      </c>
    </row>
    <row r="883" spans="4:4" x14ac:dyDescent="0.3">
      <c r="D883" t="str">
        <f>IF(C883="", "", _xlfn.XLOOKUP(C883, Members!B$3:XFD$3, Members!B$2:XFD$2))</f>
        <v/>
      </c>
    </row>
    <row r="884" spans="4:4" x14ac:dyDescent="0.3">
      <c r="D884" t="str">
        <f>IF(C884="", "", _xlfn.XLOOKUP(C884, Members!B$3:XFD$3, Members!B$2:XFD$2))</f>
        <v/>
      </c>
    </row>
    <row r="885" spans="4:4" x14ac:dyDescent="0.3">
      <c r="D885" t="str">
        <f>IF(C885="", "", _xlfn.XLOOKUP(C885, Members!B$3:XFD$3, Members!B$2:XFD$2))</f>
        <v/>
      </c>
    </row>
    <row r="886" spans="4:4" x14ac:dyDescent="0.3">
      <c r="D886" t="str">
        <f>IF(C886="", "", _xlfn.XLOOKUP(C886, Members!B$3:XFD$3, Members!B$2:XFD$2))</f>
        <v/>
      </c>
    </row>
    <row r="887" spans="4:4" x14ac:dyDescent="0.3">
      <c r="D887" t="str">
        <f>IF(C887="", "", _xlfn.XLOOKUP(C887, Members!B$3:XFD$3, Members!B$2:XFD$2))</f>
        <v/>
      </c>
    </row>
    <row r="888" spans="4:4" x14ac:dyDescent="0.3">
      <c r="D888" t="str">
        <f>IF(C888="", "", _xlfn.XLOOKUP(C888, Members!B$3:XFD$3, Members!B$2:XFD$2))</f>
        <v/>
      </c>
    </row>
    <row r="889" spans="4:4" x14ac:dyDescent="0.3">
      <c r="D889" t="str">
        <f>IF(C889="", "", _xlfn.XLOOKUP(C889, Members!B$3:XFD$3, Members!B$2:XFD$2))</f>
        <v/>
      </c>
    </row>
    <row r="890" spans="4:4" x14ac:dyDescent="0.3">
      <c r="D890" t="str">
        <f>IF(C890="", "", _xlfn.XLOOKUP(C890, Members!B$3:XFD$3, Members!B$2:XFD$2))</f>
        <v/>
      </c>
    </row>
    <row r="891" spans="4:4" x14ac:dyDescent="0.3">
      <c r="D891" t="str">
        <f>IF(C891="", "", _xlfn.XLOOKUP(C891, Members!B$3:XFD$3, Members!B$2:XFD$2))</f>
        <v/>
      </c>
    </row>
    <row r="892" spans="4:4" x14ac:dyDescent="0.3">
      <c r="D892" t="str">
        <f>IF(C892="", "", _xlfn.XLOOKUP(C892, Members!B$3:XFD$3, Members!B$2:XFD$2))</f>
        <v/>
      </c>
    </row>
    <row r="893" spans="4:4" x14ac:dyDescent="0.3">
      <c r="D893" t="str">
        <f>IF(C893="", "", _xlfn.XLOOKUP(C893, Members!B$3:XFD$3, Members!B$2:XFD$2))</f>
        <v/>
      </c>
    </row>
    <row r="894" spans="4:4" x14ac:dyDescent="0.3">
      <c r="D894" t="str">
        <f>IF(C894="", "", _xlfn.XLOOKUP(C894, Members!B$3:XFD$3, Members!B$2:XFD$2))</f>
        <v/>
      </c>
    </row>
    <row r="895" spans="4:4" x14ac:dyDescent="0.3">
      <c r="D895" t="str">
        <f>IF(C895="", "", _xlfn.XLOOKUP(C895, Members!B$3:XFD$3, Members!B$2:XFD$2))</f>
        <v/>
      </c>
    </row>
    <row r="896" spans="4:4" x14ac:dyDescent="0.3">
      <c r="D896" t="str">
        <f>IF(C896="", "", _xlfn.XLOOKUP(C896, Members!B$3:XFD$3, Members!B$2:XFD$2))</f>
        <v/>
      </c>
    </row>
    <row r="897" spans="4:4" x14ac:dyDescent="0.3">
      <c r="D897" t="str">
        <f>IF(C897="", "", _xlfn.XLOOKUP(C897, Members!B$3:XFD$3, Members!B$2:XFD$2))</f>
        <v/>
      </c>
    </row>
    <row r="898" spans="4:4" x14ac:dyDescent="0.3">
      <c r="D898" t="str">
        <f>IF(C898="", "", _xlfn.XLOOKUP(C898, Members!B$3:XFD$3, Members!B$2:XFD$2))</f>
        <v/>
      </c>
    </row>
    <row r="899" spans="4:4" x14ac:dyDescent="0.3">
      <c r="D899" t="str">
        <f>IF(C899="", "", _xlfn.XLOOKUP(C899, Members!B$3:XFD$3, Members!B$2:XFD$2))</f>
        <v/>
      </c>
    </row>
    <row r="900" spans="4:4" x14ac:dyDescent="0.3">
      <c r="D900" t="str">
        <f>IF(C900="", "", _xlfn.XLOOKUP(C900, Members!B$3:XFD$3, Members!B$2:XFD$2))</f>
        <v/>
      </c>
    </row>
    <row r="901" spans="4:4" x14ac:dyDescent="0.3">
      <c r="D901" t="str">
        <f>IF(C901="", "", _xlfn.XLOOKUP(C901, Members!B$3:XFD$3, Members!B$2:XFD$2))</f>
        <v/>
      </c>
    </row>
    <row r="902" spans="4:4" x14ac:dyDescent="0.3">
      <c r="D902" t="str">
        <f>IF(C902="", "", _xlfn.XLOOKUP(C902, Members!B$3:XFD$3, Members!B$2:XFD$2))</f>
        <v/>
      </c>
    </row>
    <row r="903" spans="4:4" x14ac:dyDescent="0.3">
      <c r="D903" t="str">
        <f>IF(C903="", "", _xlfn.XLOOKUP(C903, Members!B$3:XFD$3, Members!B$2:XFD$2))</f>
        <v/>
      </c>
    </row>
    <row r="904" spans="4:4" x14ac:dyDescent="0.3">
      <c r="D904" t="str">
        <f>IF(C904="", "", _xlfn.XLOOKUP(C904, Members!B$3:XFD$3, Members!B$2:XFD$2))</f>
        <v/>
      </c>
    </row>
    <row r="905" spans="4:4" x14ac:dyDescent="0.3">
      <c r="D905" t="str">
        <f>IF(C905="", "", _xlfn.XLOOKUP(C905, Members!B$3:XFD$3, Members!B$2:XFD$2))</f>
        <v/>
      </c>
    </row>
    <row r="906" spans="4:4" x14ac:dyDescent="0.3">
      <c r="D906" t="str">
        <f>IF(C906="", "", _xlfn.XLOOKUP(C906, Members!B$3:XFD$3, Members!B$2:XFD$2))</f>
        <v/>
      </c>
    </row>
    <row r="907" spans="4:4" x14ac:dyDescent="0.3">
      <c r="D907" t="str">
        <f>IF(C907="", "", _xlfn.XLOOKUP(C907, Members!B$3:XFD$3, Members!B$2:XFD$2))</f>
        <v/>
      </c>
    </row>
    <row r="908" spans="4:4" x14ac:dyDescent="0.3">
      <c r="D908" t="str">
        <f>IF(C908="", "", _xlfn.XLOOKUP(C908, Members!B$3:XFD$3, Members!B$2:XFD$2))</f>
        <v/>
      </c>
    </row>
    <row r="909" spans="4:4" x14ac:dyDescent="0.3">
      <c r="D909" t="str">
        <f>IF(C909="", "", _xlfn.XLOOKUP(C909, Members!B$3:XFD$3, Members!B$2:XFD$2))</f>
        <v/>
      </c>
    </row>
    <row r="910" spans="4:4" x14ac:dyDescent="0.3">
      <c r="D910" t="str">
        <f>IF(C910="", "", _xlfn.XLOOKUP(C910, Members!B$3:XFD$3, Members!B$2:XFD$2))</f>
        <v/>
      </c>
    </row>
    <row r="911" spans="4:4" x14ac:dyDescent="0.3">
      <c r="D911" t="str">
        <f>IF(C911="", "", _xlfn.XLOOKUP(C911, Members!B$3:XFD$3, Members!B$2:XFD$2))</f>
        <v/>
      </c>
    </row>
    <row r="912" spans="4:4" x14ac:dyDescent="0.3">
      <c r="D912" t="str">
        <f>IF(C912="", "", _xlfn.XLOOKUP(C912, Members!B$3:XFD$3, Members!B$2:XFD$2))</f>
        <v/>
      </c>
    </row>
    <row r="913" spans="4:4" x14ac:dyDescent="0.3">
      <c r="D913" t="str">
        <f>IF(C913="", "", _xlfn.XLOOKUP(C913, Members!B$3:XFD$3, Members!B$2:XFD$2))</f>
        <v/>
      </c>
    </row>
    <row r="914" spans="4:4" x14ac:dyDescent="0.3">
      <c r="D914" t="str">
        <f>IF(C914="", "", _xlfn.XLOOKUP(C914, Members!B$3:XFD$3, Members!B$2:XFD$2))</f>
        <v/>
      </c>
    </row>
    <row r="915" spans="4:4" x14ac:dyDescent="0.3">
      <c r="D915" t="str">
        <f>IF(C915="", "", _xlfn.XLOOKUP(C915, Members!B$3:XFD$3, Members!B$2:XFD$2))</f>
        <v/>
      </c>
    </row>
    <row r="916" spans="4:4" x14ac:dyDescent="0.3">
      <c r="D916" t="str">
        <f>IF(C916="", "", _xlfn.XLOOKUP(C916, Members!B$3:XFD$3, Members!B$2:XFD$2))</f>
        <v/>
      </c>
    </row>
    <row r="917" spans="4:4" x14ac:dyDescent="0.3">
      <c r="D917" t="str">
        <f>IF(C917="", "", _xlfn.XLOOKUP(C917, Members!B$3:XFD$3, Members!B$2:XFD$2))</f>
        <v/>
      </c>
    </row>
    <row r="918" spans="4:4" x14ac:dyDescent="0.3">
      <c r="D918" t="str">
        <f>IF(C918="", "", _xlfn.XLOOKUP(C918, Members!B$3:XFD$3, Members!B$2:XFD$2))</f>
        <v/>
      </c>
    </row>
    <row r="919" spans="4:4" x14ac:dyDescent="0.3">
      <c r="D919" t="str">
        <f>IF(C919="", "", _xlfn.XLOOKUP(C919, Members!B$3:XFD$3, Members!B$2:XFD$2))</f>
        <v/>
      </c>
    </row>
    <row r="920" spans="4:4" x14ac:dyDescent="0.3">
      <c r="D920" t="str">
        <f>IF(C920="", "", _xlfn.XLOOKUP(C920, Members!B$3:XFD$3, Members!B$2:XFD$2))</f>
        <v/>
      </c>
    </row>
    <row r="921" spans="4:4" x14ac:dyDescent="0.3">
      <c r="D921" t="str">
        <f>IF(C921="", "", _xlfn.XLOOKUP(C921, Members!B$3:XFD$3, Members!B$2:XFD$2))</f>
        <v/>
      </c>
    </row>
    <row r="922" spans="4:4" x14ac:dyDescent="0.3">
      <c r="D922" t="str">
        <f>IF(C922="", "", _xlfn.XLOOKUP(C922, Members!B$3:XFD$3, Members!B$2:XFD$2))</f>
        <v/>
      </c>
    </row>
    <row r="923" spans="4:4" x14ac:dyDescent="0.3">
      <c r="D923" t="str">
        <f>IF(C923="", "", _xlfn.XLOOKUP(C923, Members!B$3:XFD$3, Members!B$2:XFD$2))</f>
        <v/>
      </c>
    </row>
    <row r="924" spans="4:4" x14ac:dyDescent="0.3">
      <c r="D924" t="str">
        <f>IF(C924="", "", _xlfn.XLOOKUP(C924, Members!B$3:XFD$3, Members!B$2:XFD$2))</f>
        <v/>
      </c>
    </row>
    <row r="925" spans="4:4" x14ac:dyDescent="0.3">
      <c r="D925" t="str">
        <f>IF(C925="", "", _xlfn.XLOOKUP(C925, Members!B$3:XFD$3, Members!B$2:XFD$2))</f>
        <v/>
      </c>
    </row>
    <row r="926" spans="4:4" x14ac:dyDescent="0.3">
      <c r="D926" t="str">
        <f>IF(C926="", "", _xlfn.XLOOKUP(C926, Members!B$3:XFD$3, Members!B$2:XFD$2))</f>
        <v/>
      </c>
    </row>
    <row r="927" spans="4:4" x14ac:dyDescent="0.3">
      <c r="D927" t="str">
        <f>IF(C927="", "", _xlfn.XLOOKUP(C927, Members!B$3:XFD$3, Members!B$2:XFD$2))</f>
        <v/>
      </c>
    </row>
    <row r="928" spans="4:4" x14ac:dyDescent="0.3">
      <c r="D928" t="str">
        <f>IF(C928="", "", _xlfn.XLOOKUP(C928, Members!B$3:XFD$3, Members!B$2:XFD$2))</f>
        <v/>
      </c>
    </row>
    <row r="929" spans="4:4" x14ac:dyDescent="0.3">
      <c r="D929" t="str">
        <f>IF(C929="", "", _xlfn.XLOOKUP(C929, Members!B$3:XFD$3, Members!B$2:XFD$2))</f>
        <v/>
      </c>
    </row>
    <row r="930" spans="4:4" x14ac:dyDescent="0.3">
      <c r="D930" t="str">
        <f>IF(C930="", "", _xlfn.XLOOKUP(C930, Members!B$3:XFD$3, Members!B$2:XFD$2))</f>
        <v/>
      </c>
    </row>
    <row r="931" spans="4:4" x14ac:dyDescent="0.3">
      <c r="D931" t="str">
        <f>IF(C931="", "", _xlfn.XLOOKUP(C931, Members!B$3:XFD$3, Members!B$2:XFD$2))</f>
        <v/>
      </c>
    </row>
    <row r="932" spans="4:4" x14ac:dyDescent="0.3">
      <c r="D932" t="str">
        <f>IF(C932="", "", _xlfn.XLOOKUP(C932, Members!B$3:XFD$3, Members!B$2:XFD$2))</f>
        <v/>
      </c>
    </row>
    <row r="933" spans="4:4" x14ac:dyDescent="0.3">
      <c r="D933" t="str">
        <f>IF(C933="", "", _xlfn.XLOOKUP(C933, Members!B$3:XFD$3, Members!B$2:XFD$2))</f>
        <v/>
      </c>
    </row>
    <row r="934" spans="4:4" x14ac:dyDescent="0.3">
      <c r="D934" t="str">
        <f>IF(C934="", "", _xlfn.XLOOKUP(C934, Members!B$3:XFD$3, Members!B$2:XFD$2))</f>
        <v/>
      </c>
    </row>
    <row r="935" spans="4:4" x14ac:dyDescent="0.3">
      <c r="D935" t="str">
        <f>IF(C935="", "", _xlfn.XLOOKUP(C935, Members!B$3:XFD$3, Members!B$2:XFD$2))</f>
        <v/>
      </c>
    </row>
    <row r="936" spans="4:4" x14ac:dyDescent="0.3">
      <c r="D936" t="str">
        <f>IF(C936="", "", _xlfn.XLOOKUP(C936, Members!B$3:XFD$3, Members!B$2:XFD$2))</f>
        <v/>
      </c>
    </row>
    <row r="937" spans="4:4" x14ac:dyDescent="0.3">
      <c r="D937" t="str">
        <f>IF(C937="", "", _xlfn.XLOOKUP(C937, Members!B$3:XFD$3, Members!B$2:XFD$2))</f>
        <v/>
      </c>
    </row>
    <row r="938" spans="4:4" x14ac:dyDescent="0.3">
      <c r="D938" t="str">
        <f>IF(C938="", "", _xlfn.XLOOKUP(C938, Members!B$3:XFD$3, Members!B$2:XFD$2))</f>
        <v/>
      </c>
    </row>
    <row r="939" spans="4:4" x14ac:dyDescent="0.3">
      <c r="D939" t="str">
        <f>IF(C939="", "", _xlfn.XLOOKUP(C939, Members!B$3:XFD$3, Members!B$2:XFD$2))</f>
        <v/>
      </c>
    </row>
    <row r="940" spans="4:4" x14ac:dyDescent="0.3">
      <c r="D940" t="str">
        <f>IF(C940="", "", _xlfn.XLOOKUP(C940, Members!B$3:XFD$3, Members!B$2:XFD$2))</f>
        <v/>
      </c>
    </row>
    <row r="941" spans="4:4" x14ac:dyDescent="0.3">
      <c r="D941" t="str">
        <f>IF(C941="", "", _xlfn.XLOOKUP(C941, Members!B$3:XFD$3, Members!B$2:XFD$2))</f>
        <v/>
      </c>
    </row>
    <row r="942" spans="4:4" x14ac:dyDescent="0.3">
      <c r="D942" t="str">
        <f>IF(C942="", "", _xlfn.XLOOKUP(C942, Members!B$3:XFD$3, Members!B$2:XFD$2))</f>
        <v/>
      </c>
    </row>
    <row r="943" spans="4:4" x14ac:dyDescent="0.3">
      <c r="D943" t="str">
        <f>IF(C943="", "", _xlfn.XLOOKUP(C943, Members!B$3:XFD$3, Members!B$2:XFD$2))</f>
        <v/>
      </c>
    </row>
    <row r="944" spans="4:4" x14ac:dyDescent="0.3">
      <c r="D944" t="str">
        <f>IF(C944="", "", _xlfn.XLOOKUP(C944, Members!B$3:XFD$3, Members!B$2:XFD$2))</f>
        <v/>
      </c>
    </row>
    <row r="945" spans="4:4" x14ac:dyDescent="0.3">
      <c r="D945" t="str">
        <f>IF(C945="", "", _xlfn.XLOOKUP(C945, Members!B$3:XFD$3, Members!B$2:XFD$2))</f>
        <v/>
      </c>
    </row>
    <row r="946" spans="4:4" x14ac:dyDescent="0.3">
      <c r="D946" t="str">
        <f>IF(C946="", "", _xlfn.XLOOKUP(C946, Members!B$3:XFD$3, Members!B$2:XFD$2))</f>
        <v/>
      </c>
    </row>
    <row r="947" spans="4:4" x14ac:dyDescent="0.3">
      <c r="D947" t="str">
        <f>IF(C947="", "", _xlfn.XLOOKUP(C947, Members!B$3:XFD$3, Members!B$2:XFD$2))</f>
        <v/>
      </c>
    </row>
    <row r="948" spans="4:4" x14ac:dyDescent="0.3">
      <c r="D948" t="str">
        <f>IF(C948="", "", _xlfn.XLOOKUP(C948, Members!B$3:XFD$3, Members!B$2:XFD$2))</f>
        <v/>
      </c>
    </row>
    <row r="949" spans="4:4" x14ac:dyDescent="0.3">
      <c r="D949" t="str">
        <f>IF(C949="", "", _xlfn.XLOOKUP(C949, Members!B$3:XFD$3, Members!B$2:XFD$2))</f>
        <v/>
      </c>
    </row>
    <row r="950" spans="4:4" x14ac:dyDescent="0.3">
      <c r="D950" t="str">
        <f>IF(C950="", "", _xlfn.XLOOKUP(C950, Members!B$3:XFD$3, Members!B$2:XFD$2))</f>
        <v/>
      </c>
    </row>
    <row r="951" spans="4:4" x14ac:dyDescent="0.3">
      <c r="D951" t="str">
        <f>IF(C951="", "", _xlfn.XLOOKUP(C951, Members!B$3:XFD$3, Members!B$2:XFD$2))</f>
        <v/>
      </c>
    </row>
    <row r="952" spans="4:4" x14ac:dyDescent="0.3">
      <c r="D952" t="str">
        <f>IF(C952="", "", _xlfn.XLOOKUP(C952, Members!B$3:XFD$3, Members!B$2:XFD$2))</f>
        <v/>
      </c>
    </row>
    <row r="953" spans="4:4" x14ac:dyDescent="0.3">
      <c r="D953" t="str">
        <f>IF(C953="", "", _xlfn.XLOOKUP(C953, Members!B$3:XFD$3, Members!B$2:XFD$2))</f>
        <v/>
      </c>
    </row>
    <row r="954" spans="4:4" x14ac:dyDescent="0.3">
      <c r="D954" t="str">
        <f>IF(C954="", "", _xlfn.XLOOKUP(C954, Members!B$3:XFD$3, Members!B$2:XFD$2))</f>
        <v/>
      </c>
    </row>
    <row r="955" spans="4:4" x14ac:dyDescent="0.3">
      <c r="D955" t="str">
        <f>IF(C955="", "", _xlfn.XLOOKUP(C955, Members!B$3:XFD$3, Members!B$2:XFD$2))</f>
        <v/>
      </c>
    </row>
    <row r="956" spans="4:4" x14ac:dyDescent="0.3">
      <c r="D956" t="str">
        <f>IF(C956="", "", _xlfn.XLOOKUP(C956, Members!B$3:XFD$3, Members!B$2:XFD$2))</f>
        <v/>
      </c>
    </row>
    <row r="957" spans="4:4" x14ac:dyDescent="0.3">
      <c r="D957" t="str">
        <f>IF(C957="", "", _xlfn.XLOOKUP(C957, Members!B$3:XFD$3, Members!B$2:XFD$2))</f>
        <v/>
      </c>
    </row>
    <row r="958" spans="4:4" x14ac:dyDescent="0.3">
      <c r="D958" t="str">
        <f>IF(C958="", "", _xlfn.XLOOKUP(C958, Members!B$3:XFD$3, Members!B$2:XFD$2))</f>
        <v/>
      </c>
    </row>
    <row r="959" spans="4:4" x14ac:dyDescent="0.3">
      <c r="D959" t="str">
        <f>IF(C959="", "", _xlfn.XLOOKUP(C959, Members!B$3:XFD$3, Members!B$2:XFD$2))</f>
        <v/>
      </c>
    </row>
    <row r="960" spans="4:4" x14ac:dyDescent="0.3">
      <c r="D960" t="str">
        <f>IF(C960="", "", _xlfn.XLOOKUP(C960, Members!B$3:XFD$3, Members!B$2:XFD$2))</f>
        <v/>
      </c>
    </row>
    <row r="961" spans="4:4" x14ac:dyDescent="0.3">
      <c r="D961" t="str">
        <f>IF(C961="", "", _xlfn.XLOOKUP(C961, Members!B$3:XFD$3, Members!B$2:XFD$2))</f>
        <v/>
      </c>
    </row>
    <row r="962" spans="4:4" x14ac:dyDescent="0.3">
      <c r="D962" t="str">
        <f>IF(C962="", "", _xlfn.XLOOKUP(C962, Members!B$3:XFD$3, Members!B$2:XFD$2))</f>
        <v/>
      </c>
    </row>
    <row r="963" spans="4:4" x14ac:dyDescent="0.3">
      <c r="D963" t="str">
        <f>IF(C963="", "", _xlfn.XLOOKUP(C963, Members!B$3:XFD$3, Members!B$2:XFD$2))</f>
        <v/>
      </c>
    </row>
    <row r="964" spans="4:4" x14ac:dyDescent="0.3">
      <c r="D964" t="str">
        <f>IF(C964="", "", _xlfn.XLOOKUP(C964, Members!B$3:XFD$3, Members!B$2:XFD$2))</f>
        <v/>
      </c>
    </row>
    <row r="965" spans="4:4" x14ac:dyDescent="0.3">
      <c r="D965" t="str">
        <f>IF(C965="", "", _xlfn.XLOOKUP(C965, Members!B$3:XFD$3, Members!B$2:XFD$2))</f>
        <v/>
      </c>
    </row>
    <row r="966" spans="4:4" x14ac:dyDescent="0.3">
      <c r="D966" t="str">
        <f>IF(C966="", "", _xlfn.XLOOKUP(C966, Members!B$3:XFD$3, Members!B$2:XFD$2))</f>
        <v/>
      </c>
    </row>
    <row r="967" spans="4:4" x14ac:dyDescent="0.3">
      <c r="D967" t="str">
        <f>IF(C967="", "", _xlfn.XLOOKUP(C967, Members!B$3:XFD$3, Members!B$2:XFD$2))</f>
        <v/>
      </c>
    </row>
    <row r="968" spans="4:4" x14ac:dyDescent="0.3">
      <c r="D968" t="str">
        <f>IF(C968="", "", _xlfn.XLOOKUP(C968, Members!B$3:XFD$3, Members!B$2:XFD$2))</f>
        <v/>
      </c>
    </row>
    <row r="969" spans="4:4" x14ac:dyDescent="0.3">
      <c r="D969" t="str">
        <f>IF(C969="", "", _xlfn.XLOOKUP(C969, Members!B$3:XFD$3, Members!B$2:XFD$2))</f>
        <v/>
      </c>
    </row>
    <row r="970" spans="4:4" x14ac:dyDescent="0.3">
      <c r="D970" t="str">
        <f>IF(C970="", "", _xlfn.XLOOKUP(C970, Members!B$3:XFD$3, Members!B$2:XFD$2))</f>
        <v/>
      </c>
    </row>
    <row r="971" spans="4:4" x14ac:dyDescent="0.3">
      <c r="D971" t="str">
        <f>IF(C971="", "", _xlfn.XLOOKUP(C971, Members!B$3:XFD$3, Members!B$2:XFD$2))</f>
        <v/>
      </c>
    </row>
    <row r="972" spans="4:4" x14ac:dyDescent="0.3">
      <c r="D972" t="str">
        <f>IF(C972="", "", _xlfn.XLOOKUP(C972, Members!B$3:XFD$3, Members!B$2:XFD$2))</f>
        <v/>
      </c>
    </row>
    <row r="973" spans="4:4" x14ac:dyDescent="0.3">
      <c r="D973" t="str">
        <f>IF(C973="", "", _xlfn.XLOOKUP(C973, Members!B$3:XFD$3, Members!B$2:XFD$2))</f>
        <v/>
      </c>
    </row>
    <row r="974" spans="4:4" x14ac:dyDescent="0.3">
      <c r="D974" t="str">
        <f>IF(C974="", "", _xlfn.XLOOKUP(C974, Members!B$3:XFD$3, Members!B$2:XFD$2))</f>
        <v/>
      </c>
    </row>
    <row r="975" spans="4:4" x14ac:dyDescent="0.3">
      <c r="D975" t="str">
        <f>IF(C975="", "", _xlfn.XLOOKUP(C975, Members!B$3:XFD$3, Members!B$2:XFD$2))</f>
        <v/>
      </c>
    </row>
    <row r="976" spans="4:4" x14ac:dyDescent="0.3">
      <c r="D976" t="str">
        <f>IF(C976="", "", _xlfn.XLOOKUP(C976, Members!B$3:XFD$3, Members!B$2:XFD$2))</f>
        <v/>
      </c>
    </row>
    <row r="977" spans="4:4" x14ac:dyDescent="0.3">
      <c r="D977" t="str">
        <f>IF(C977="", "", _xlfn.XLOOKUP(C977, Members!B$3:XFD$3, Members!B$2:XFD$2))</f>
        <v/>
      </c>
    </row>
    <row r="978" spans="4:4" x14ac:dyDescent="0.3">
      <c r="D978" t="str">
        <f>IF(C978="", "", _xlfn.XLOOKUP(C978, Members!B$3:XFD$3, Members!B$2:XFD$2))</f>
        <v/>
      </c>
    </row>
    <row r="979" spans="4:4" x14ac:dyDescent="0.3">
      <c r="D979" t="str">
        <f>IF(C979="", "", _xlfn.XLOOKUP(C979, Members!B$3:XFD$3, Members!B$2:XFD$2))</f>
        <v/>
      </c>
    </row>
    <row r="980" spans="4:4" x14ac:dyDescent="0.3">
      <c r="D980" t="str">
        <f>IF(C980="", "", _xlfn.XLOOKUP(C980, Members!B$3:XFD$3, Members!B$2:XFD$2))</f>
        <v/>
      </c>
    </row>
    <row r="981" spans="4:4" x14ac:dyDescent="0.3">
      <c r="D981" t="str">
        <f>IF(C981="", "", _xlfn.XLOOKUP(C981, Members!B$3:XFD$3, Members!B$2:XFD$2))</f>
        <v/>
      </c>
    </row>
    <row r="982" spans="4:4" x14ac:dyDescent="0.3">
      <c r="D982" t="str">
        <f>IF(C982="", "", _xlfn.XLOOKUP(C982, Members!B$3:XFD$3, Members!B$2:XFD$2))</f>
        <v/>
      </c>
    </row>
    <row r="983" spans="4:4" x14ac:dyDescent="0.3">
      <c r="D983" t="str">
        <f>IF(C983="", "", _xlfn.XLOOKUP(C983, Members!B$3:XFD$3, Members!B$2:XFD$2))</f>
        <v/>
      </c>
    </row>
    <row r="984" spans="4:4" x14ac:dyDescent="0.3">
      <c r="D984" t="str">
        <f>IF(C984="", "", _xlfn.XLOOKUP(C984, Members!B$3:XFD$3, Members!B$2:XFD$2))</f>
        <v/>
      </c>
    </row>
    <row r="985" spans="4:4" x14ac:dyDescent="0.3">
      <c r="D985" t="str">
        <f>IF(C985="", "", _xlfn.XLOOKUP(C985, Members!B$3:XFD$3, Members!B$2:XFD$2))</f>
        <v/>
      </c>
    </row>
    <row r="986" spans="4:4" x14ac:dyDescent="0.3">
      <c r="D986" t="str">
        <f>IF(C986="", "", _xlfn.XLOOKUP(C986, Members!B$3:XFD$3, Members!B$2:XFD$2))</f>
        <v/>
      </c>
    </row>
    <row r="987" spans="4:4" x14ac:dyDescent="0.3">
      <c r="D987" t="str">
        <f>IF(C987="", "", _xlfn.XLOOKUP(C987, Members!B$3:XFD$3, Members!B$2:XFD$2))</f>
        <v/>
      </c>
    </row>
    <row r="988" spans="4:4" x14ac:dyDescent="0.3">
      <c r="D988" t="str">
        <f>IF(C988="", "", _xlfn.XLOOKUP(C988, Members!B$3:XFD$3, Members!B$2:XFD$2))</f>
        <v/>
      </c>
    </row>
    <row r="989" spans="4:4" x14ac:dyDescent="0.3">
      <c r="D989" t="str">
        <f>IF(C989="", "", _xlfn.XLOOKUP(C989, Members!B$3:XFD$3, Members!B$2:XFD$2))</f>
        <v/>
      </c>
    </row>
    <row r="990" spans="4:4" x14ac:dyDescent="0.3">
      <c r="D990" t="str">
        <f>IF(C990="", "", _xlfn.XLOOKUP(C990, Members!B$3:XFD$3, Members!B$2:XFD$2))</f>
        <v/>
      </c>
    </row>
    <row r="991" spans="4:4" x14ac:dyDescent="0.3">
      <c r="D991" t="str">
        <f>IF(C991="", "", _xlfn.XLOOKUP(C991, Members!B$3:XFD$3, Members!B$2:XFD$2))</f>
        <v/>
      </c>
    </row>
    <row r="992" spans="4:4" x14ac:dyDescent="0.3">
      <c r="D992" t="str">
        <f>IF(C992="", "", _xlfn.XLOOKUP(C992, Members!B$3:XFD$3, Members!B$2:XFD$2))</f>
        <v/>
      </c>
    </row>
    <row r="993" spans="4:4" x14ac:dyDescent="0.3">
      <c r="D993" t="str">
        <f>IF(C993="", "", _xlfn.XLOOKUP(C993, Members!B$3:XFD$3, Members!B$2:XFD$2))</f>
        <v/>
      </c>
    </row>
    <row r="994" spans="4:4" x14ac:dyDescent="0.3">
      <c r="D994" t="str">
        <f>IF(C994="", "", _xlfn.XLOOKUP(C994, Members!B$3:XFD$3, Members!B$2:XFD$2))</f>
        <v/>
      </c>
    </row>
    <row r="995" spans="4:4" x14ac:dyDescent="0.3">
      <c r="D995" t="str">
        <f>IF(C995="", "", _xlfn.XLOOKUP(C995, Members!B$3:XFD$3, Members!B$2:XFD$2))</f>
        <v/>
      </c>
    </row>
    <row r="996" spans="4:4" x14ac:dyDescent="0.3">
      <c r="D996" t="str">
        <f>IF(C996="", "", _xlfn.XLOOKUP(C996, Members!B$3:XFD$3, Members!B$2:XFD$2))</f>
        <v/>
      </c>
    </row>
    <row r="997" spans="4:4" x14ac:dyDescent="0.3">
      <c r="D997" t="str">
        <f>IF(C997="", "", _xlfn.XLOOKUP(C997, Members!B$3:XFD$3, Members!B$2:XFD$2))</f>
        <v/>
      </c>
    </row>
    <row r="998" spans="4:4" x14ac:dyDescent="0.3">
      <c r="D998" t="str">
        <f>IF(C998="", "", _xlfn.XLOOKUP(C998, Members!B$3:XFD$3, Members!B$2:XFD$2))</f>
        <v/>
      </c>
    </row>
    <row r="999" spans="4:4" x14ac:dyDescent="0.3">
      <c r="D999" t="str">
        <f>IF(C999="", "", _xlfn.XLOOKUP(C999, Members!B$3:XFD$3, Members!B$2:XFD$2))</f>
        <v/>
      </c>
    </row>
    <row r="1000" spans="4:4" x14ac:dyDescent="0.3">
      <c r="D1000" t="str">
        <f>IF(C1000="", "", _xlfn.XLOOKUP(C1000, Members!B$3:XFD$3, Members!B$2:XFD$2))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Members</vt:lpstr>
      <vt:lpstr>Members_availability</vt:lpstr>
      <vt:lpstr>Tasks</vt:lpstr>
      <vt:lpstr>Lists</vt:lpstr>
      <vt:lpstr>ROLE_NAME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</dc:creator>
  <cp:keywords/>
  <dc:description/>
  <cp:lastModifiedBy>AU Hin Yeung</cp:lastModifiedBy>
  <cp:revision/>
  <dcterms:created xsi:type="dcterms:W3CDTF">2025-03-29T09:11:35Z</dcterms:created>
  <dcterms:modified xsi:type="dcterms:W3CDTF">2025-04-30T10:08:23Z</dcterms:modified>
  <cp:category/>
  <cp:contentStatus/>
</cp:coreProperties>
</file>